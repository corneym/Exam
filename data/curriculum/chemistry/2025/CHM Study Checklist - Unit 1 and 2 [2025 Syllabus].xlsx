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git\Exam\src\test\resources\curriculum\"/>
    </mc:Choice>
  </mc:AlternateContent>
  <xr:revisionPtr revIDLastSave="0" documentId="13_ncr:1_{AC54B243-67BF-44F7-8875-927453533A6C}" xr6:coauthVersionLast="47" xr6:coauthVersionMax="47" xr10:uidLastSave="{00000000-0000-0000-0000-000000000000}"/>
  <bookViews>
    <workbookView xWindow="-120" yWindow="-120" windowWidth="29040" windowHeight="15720" xr2:uid="{DA48C7DD-E7A7-4D08-80D0-A88CE069A6D5}"/>
  </bookViews>
  <sheets>
    <sheet name="Unit 1 2025" sheetId="1" r:id="rId1"/>
    <sheet name="Unit 2 2025"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1" i="2" l="1"/>
  <c r="M40" i="2"/>
  <c r="M39" i="2"/>
  <c r="M38" i="2"/>
  <c r="M37" i="2"/>
  <c r="M36" i="2"/>
  <c r="M35" i="2"/>
  <c r="M34" i="2"/>
  <c r="M33" i="2"/>
  <c r="M32" i="2"/>
  <c r="E32" i="2"/>
  <c r="M31" i="2"/>
  <c r="E31" i="2"/>
  <c r="M30" i="2"/>
  <c r="M29" i="2"/>
  <c r="M28" i="2"/>
  <c r="M27" i="2"/>
  <c r="E27" i="2"/>
  <c r="M26" i="2"/>
  <c r="M25" i="2"/>
  <c r="M24" i="2"/>
  <c r="E24" i="2"/>
  <c r="M23" i="2"/>
  <c r="M22" i="2"/>
  <c r="M21" i="2"/>
  <c r="E21" i="2"/>
  <c r="M20" i="2"/>
  <c r="M19" i="2"/>
  <c r="M18" i="2"/>
  <c r="M17" i="2"/>
  <c r="M16" i="2"/>
  <c r="M15" i="2"/>
  <c r="E15" i="2"/>
  <c r="M14" i="2"/>
  <c r="M13" i="2"/>
  <c r="M12" i="2"/>
  <c r="M11" i="2"/>
  <c r="M10" i="2"/>
  <c r="E10" i="2"/>
  <c r="M9" i="2"/>
  <c r="M8" i="2"/>
  <c r="M7" i="2"/>
  <c r="E7" i="2"/>
  <c r="M6" i="2"/>
  <c r="M5" i="2"/>
  <c r="M4" i="2"/>
  <c r="E4" i="2"/>
  <c r="M71" i="1" l="1"/>
  <c r="M70" i="1"/>
  <c r="M69" i="1"/>
  <c r="M68" i="1"/>
  <c r="M67" i="1"/>
  <c r="M66" i="1"/>
  <c r="M65" i="1"/>
  <c r="M64" i="1"/>
  <c r="E64" i="1"/>
  <c r="M63" i="1"/>
  <c r="M62" i="1"/>
  <c r="M61" i="1"/>
  <c r="M60" i="1"/>
  <c r="M59" i="1"/>
  <c r="M58" i="1"/>
  <c r="M57" i="1"/>
  <c r="M56" i="1"/>
  <c r="M55" i="1"/>
  <c r="M54" i="1"/>
  <c r="E54" i="1"/>
  <c r="M53" i="1"/>
  <c r="M52" i="1"/>
  <c r="E52" i="1"/>
  <c r="M51" i="1"/>
  <c r="M50" i="1"/>
  <c r="M49" i="1"/>
  <c r="M48" i="1"/>
  <c r="M47" i="1"/>
  <c r="M46" i="1"/>
  <c r="M45" i="1"/>
  <c r="M44" i="1"/>
  <c r="E44" i="1"/>
  <c r="M43" i="1"/>
  <c r="M42" i="1"/>
  <c r="M41" i="1"/>
  <c r="M40" i="1"/>
  <c r="E40" i="1"/>
  <c r="M39" i="1"/>
  <c r="M38" i="1"/>
  <c r="M37" i="1"/>
  <c r="M36" i="1"/>
  <c r="M35" i="1"/>
  <c r="M34" i="1"/>
  <c r="M33" i="1"/>
  <c r="M32" i="1"/>
  <c r="M31" i="1"/>
  <c r="M30" i="1"/>
  <c r="E30" i="1"/>
  <c r="M29" i="1"/>
  <c r="M28" i="1"/>
  <c r="M27" i="1"/>
  <c r="M26" i="1"/>
  <c r="M25" i="1"/>
  <c r="M24" i="1"/>
  <c r="M23" i="1"/>
  <c r="M22" i="1"/>
  <c r="E22" i="1"/>
  <c r="M21" i="1"/>
  <c r="M20" i="1"/>
  <c r="M19" i="1"/>
  <c r="M18" i="1"/>
  <c r="M17" i="1"/>
  <c r="M16" i="1"/>
  <c r="E16" i="1"/>
  <c r="M15" i="1"/>
  <c r="M14" i="1"/>
  <c r="M13" i="1"/>
  <c r="M12" i="1"/>
  <c r="E12" i="1"/>
  <c r="M11" i="1"/>
  <c r="M10" i="1"/>
  <c r="M9" i="1"/>
  <c r="M8" i="1"/>
  <c r="M7" i="1"/>
  <c r="M6" i="1"/>
  <c r="M5" i="1"/>
  <c r="M4" i="1"/>
  <c r="E4" i="1"/>
</calcChain>
</file>

<file path=xl/sharedStrings.xml><?xml version="1.0" encoding="utf-8"?>
<sst xmlns="http://schemas.openxmlformats.org/spreadsheetml/2006/main" count="260" uniqueCount="227">
  <si>
    <t xml:space="preserve">UNIT 1 and 2 CHEMISTRY STUDY GUIDE </t>
  </si>
  <si>
    <t>Unit</t>
  </si>
  <si>
    <t>Topic</t>
  </si>
  <si>
    <t>Subtopic</t>
  </si>
  <si>
    <t>Descriptor</t>
  </si>
  <si>
    <t>Lesson</t>
  </si>
  <si>
    <t>Textbook Chapter</t>
  </si>
  <si>
    <t>Level of Confidence
(1-3)</t>
  </si>
  <si>
    <t>Previous Syllabus</t>
  </si>
  <si>
    <t>1. Chemical fundamentals — structure, properties and reactions</t>
  </si>
  <si>
    <t>Topic 1:  Properties and structure of atoms</t>
  </si>
  <si>
    <t>Atomic Structure</t>
  </si>
  <si>
    <t>Describe that atoms can be modelled as a nucleus surrounded by electrons in distinct energy levels</t>
  </si>
  <si>
    <t>1.1.2.1</t>
  </si>
  <si>
    <t>Discriminate between the terms atomic number (Z), mass number (A) and isotopes of an element.</t>
  </si>
  <si>
    <r>
      <t xml:space="preserve">Apply the nuclear symbol notation </t>
    </r>
    <r>
      <rPr>
        <vertAlign val="superscript"/>
        <sz val="11"/>
        <color theme="1"/>
        <rFont val="Calibri"/>
        <family val="2"/>
      </rPr>
      <t>A</t>
    </r>
    <r>
      <rPr>
        <vertAlign val="subscript"/>
        <sz val="11"/>
        <color theme="1"/>
        <rFont val="Calibri"/>
        <family val="2"/>
      </rPr>
      <t>Z</t>
    </r>
    <r>
      <rPr>
        <sz val="11"/>
        <color theme="1"/>
        <rFont val="Calibri"/>
        <family val="2"/>
      </rPr>
      <t>M</t>
    </r>
    <r>
      <rPr>
        <vertAlign val="subscript"/>
        <sz val="11"/>
        <color theme="1"/>
        <rFont val="Calibri"/>
        <family val="2"/>
      </rPr>
      <t xml:space="preserve"> </t>
    </r>
    <r>
      <rPr>
        <sz val="11"/>
        <color theme="1"/>
        <rFont val="Calibri"/>
        <family val="2"/>
      </rPr>
      <t xml:space="preserve"> to determine the number of protons, neutrons and electrons in atoms, ions and isotopes</t>
    </r>
  </si>
  <si>
    <t>1.1.2.2</t>
  </si>
  <si>
    <t>State the relative energies of the s, p and d orbitals</t>
  </si>
  <si>
    <t>1.1.2.3</t>
  </si>
  <si>
    <t>Apply the Aufbau principle, Hund’s rule and the Pauli exclusion principle to write electron configurations for atoms and ions up to Z = 36</t>
  </si>
  <si>
    <t>1.1.2.4</t>
  </si>
  <si>
    <r>
      <t>Determine full and condensed electron configurations for atoms and ions up to Z = 36. (e.g 1s</t>
    </r>
    <r>
      <rPr>
        <vertAlign val="superscript"/>
        <sz val="11"/>
        <color theme="1"/>
        <rFont val="Calibri"/>
        <family val="2"/>
      </rPr>
      <t>2</t>
    </r>
    <r>
      <rPr>
        <sz val="11"/>
        <color theme="1"/>
        <rFont val="Calibri"/>
        <family val="2"/>
      </rPr>
      <t xml:space="preserve"> 2s</t>
    </r>
    <r>
      <rPr>
        <vertAlign val="superscript"/>
        <sz val="11"/>
        <color theme="1"/>
        <rFont val="Calibri"/>
        <family val="2"/>
      </rPr>
      <t>2</t>
    </r>
    <r>
      <rPr>
        <sz val="11"/>
        <color theme="1"/>
        <rFont val="Calibri"/>
        <family val="2"/>
      </rPr>
      <t xml:space="preserve"> 2p</t>
    </r>
    <r>
      <rPr>
        <vertAlign val="superscript"/>
        <sz val="11"/>
        <color theme="1"/>
        <rFont val="Calibri"/>
        <family val="2"/>
      </rPr>
      <t>6</t>
    </r>
    <r>
      <rPr>
        <sz val="11"/>
        <color theme="1"/>
        <rFont val="Calibri"/>
        <family val="2"/>
      </rPr>
      <t xml:space="preserve"> 3s</t>
    </r>
    <r>
      <rPr>
        <vertAlign val="superscript"/>
        <sz val="11"/>
        <color theme="1"/>
        <rFont val="Calibri"/>
        <family val="2"/>
      </rPr>
      <t>2</t>
    </r>
    <r>
      <rPr>
        <sz val="11"/>
        <color theme="1"/>
        <rFont val="Calibri"/>
        <family val="2"/>
      </rPr>
      <t xml:space="preserve"> 3p</t>
    </r>
    <r>
      <rPr>
        <vertAlign val="superscript"/>
        <sz val="11"/>
        <color theme="1"/>
        <rFont val="Calibri"/>
        <family val="2"/>
      </rPr>
      <t>5</t>
    </r>
    <r>
      <rPr>
        <sz val="11"/>
        <color theme="1"/>
        <rFont val="Calibri"/>
        <family val="2"/>
      </rPr>
      <t xml:space="preserve"> and [Ne]3s</t>
    </r>
    <r>
      <rPr>
        <vertAlign val="superscript"/>
        <sz val="11"/>
        <color theme="1"/>
        <rFont val="Calibri"/>
        <family val="2"/>
      </rPr>
      <t>2</t>
    </r>
    <r>
      <rPr>
        <sz val="11"/>
        <color theme="1"/>
        <rFont val="Calibri"/>
        <family val="2"/>
      </rPr>
      <t xml:space="preserve"> 3p</t>
    </r>
    <r>
      <rPr>
        <vertAlign val="superscript"/>
        <sz val="11"/>
        <color theme="1"/>
        <rFont val="Calibri"/>
        <family val="2"/>
      </rPr>
      <t>5</t>
    </r>
    <r>
      <rPr>
        <sz val="11"/>
        <color theme="1"/>
        <rFont val="Calibri"/>
        <family val="2"/>
      </rPr>
      <t>).</t>
    </r>
  </si>
  <si>
    <t>Identify the electron configuration of Cr and Cu as exceptions</t>
  </si>
  <si>
    <t>1.1.2.5</t>
  </si>
  <si>
    <t>Explain how successive ionisation energy data is related to the electron configuration of an atom</t>
  </si>
  <si>
    <t>1.1.1.3</t>
  </si>
  <si>
    <t>Isotopes</t>
  </si>
  <si>
    <t>Describe that isotopes are atoms of the same element that have different numbers of neutrons</t>
  </si>
  <si>
    <t>1.1.4.1</t>
  </si>
  <si>
    <r>
      <t xml:space="preserve">State that isotopes can be represented in the form </t>
    </r>
    <r>
      <rPr>
        <vertAlign val="superscript"/>
        <sz val="11"/>
        <color theme="1"/>
        <rFont val="Calibri"/>
        <family val="2"/>
      </rPr>
      <t>A</t>
    </r>
    <r>
      <rPr>
        <sz val="11"/>
        <color theme="1"/>
        <rFont val="Calibri"/>
        <family val="2"/>
      </rPr>
      <t>X (IUPAC) or X-A</t>
    </r>
  </si>
  <si>
    <t>Identify that isotopes of an element have the same electron configuration and possess similar chemical properties but have different physical properties</t>
  </si>
  <si>
    <t>1.1.4.2</t>
  </si>
  <si>
    <t>Explain that the relative atomic mass of an element is the ratio of the weighted average mass per atom of the naturally occurring form of the element to 1/12 the mass of an atom of carbon-12.</t>
  </si>
  <si>
    <t>1.1.4.3</t>
  </si>
  <si>
    <t>Analytical techniques</t>
  </si>
  <si>
    <t>State that mass spectrometry involves the ionisation of substances and the separation and detection of the resulting ions.  (The operation of the mass spectrometer is not required.)</t>
  </si>
  <si>
    <t>1.1.5.1</t>
  </si>
  <si>
    <t>Analyse mass spectrometry spectra, to determine the isotopic composition of elements, the relative atomic mass of an element and percentage abundances of the isotopes of an element</t>
  </si>
  <si>
    <t>1.1.5.5</t>
  </si>
  <si>
    <t>Discriminate between absorption and emission line spectra</t>
  </si>
  <si>
    <t>1.1.5.3</t>
  </si>
  <si>
    <t>Explain that flame tests and atomic absorption spectroscopy (AAS) rely on electron transfer between atomic energy levels</t>
  </si>
  <si>
    <t>1.1.5.2</t>
  </si>
  <si>
    <t>Explain that the emission spectrum of hydrogen provides evidence for the existence of electrons in discrete energy levels (Bohr model), which converge at higher energies.</t>
  </si>
  <si>
    <t>Analyse flame tests and atomic absorption spectroscopy (AAS) to identify elements and determine the concentration of metallic ions in solution.</t>
  </si>
  <si>
    <t>1.1.5.4</t>
  </si>
  <si>
    <t>Periodic table and trends</t>
  </si>
  <si>
    <t>State that elements are represented by symbols.</t>
  </si>
  <si>
    <t>1.1.1.1</t>
  </si>
  <si>
    <t>Identify that the structure of the periodic table is based on increasing atomic number.</t>
  </si>
  <si>
    <t>Identify that the periodic table is arranged into four blocks associated with the four sub-levels — s, p, d and f.</t>
  </si>
  <si>
    <t>Describe the relationship between the structure of the periodic table and the electronic configuration of atoms.</t>
  </si>
  <si>
    <t>Explain that elements of the periodic table show trends in chemical and physical properties across periods and down groups as exemplified by groups 1, 2, 13–18 and period 3.</t>
  </si>
  <si>
    <t>Compare the metallic and non-metallic behaviours of elements, including group trends and the reactivity for the alkali metals (Li–Cs) and the halogens (F–I).</t>
  </si>
  <si>
    <t>Identify that oxides change from basic through amphoteric to acidic across period 3.</t>
  </si>
  <si>
    <t>1.1.1.4</t>
  </si>
  <si>
    <t>Analyse data for atomic radii, valencies, ionic radii, 1st ionisation energy and electronegativities to determine periodic trends, patterns and relationships.</t>
  </si>
  <si>
    <t>1.1.1.5</t>
  </si>
  <si>
    <t>Introduction to Bonding</t>
  </si>
  <si>
    <t>Explain that the ability of atoms to form chemical bonds, is related to the arrangement of electrons in the atom and the stability of the valence electron shell.</t>
  </si>
  <si>
    <t>1.1.3.1</t>
  </si>
  <si>
    <t>Identify that the number of electrons lost, gained or shared is determined by the electron configuration of the atom</t>
  </si>
  <si>
    <t>1.1.3.2</t>
  </si>
  <si>
    <t>State that transitional elements can form more than one ion.</t>
  </si>
  <si>
    <t>Explain that ions are atoms or groups of atoms that are electrically charged due to an imbalance in the number of electrons and protons.</t>
  </si>
  <si>
    <t>1.1.3.3</t>
  </si>
  <si>
    <t>Explain that chemical bonds are caused by electrostatic attractions that arise because of the sharing or transfer of electrons.</t>
  </si>
  <si>
    <t>1.1.3.4</t>
  </si>
  <si>
    <t>Identify that the valency is a measure of the number of bonds that an atom can form.</t>
  </si>
  <si>
    <t>Determine the formula and IUPAC name of ionic and molecular compounds.</t>
  </si>
  <si>
    <t>1.04, 1.13</t>
  </si>
  <si>
    <t>Discriminate between the terms empirical formula, molecular formula and the formula unit.</t>
  </si>
  <si>
    <t>Determine Lewis (electron dot) structure of molecules and ions showing all valence electrons for up to four electrons pairs for each atom.</t>
  </si>
  <si>
    <t>1.04. 1.13</t>
  </si>
  <si>
    <t>1.1.3.5</t>
  </si>
  <si>
    <t>Identify the numbers of bonding and lone pairs of electrons around each atom in a molecule.</t>
  </si>
  <si>
    <t>1.1.3.6</t>
  </si>
  <si>
    <t>Topic 2:  Properties and structure of materials</t>
  </si>
  <si>
    <t>Compounds and mixtures</t>
  </si>
  <si>
    <t>State that pure substances may be elements or compounds</t>
  </si>
  <si>
    <t>1.2.1.1</t>
  </si>
  <si>
    <t>Identify that pure substances have distinct measurable properties (e.g. melting and boiling point, reactivity, strength, density) and mixtures have properties dependent on the identity and relative amounts of the substances that make them up.</t>
  </si>
  <si>
    <t>Discriminate between heterogeneous and homogeneous mixtures.</t>
  </si>
  <si>
    <t>1.2.1.2</t>
  </si>
  <si>
    <t>Analyse data to determine the physical properties of pure substances and mixtures.</t>
  </si>
  <si>
    <t>-</t>
  </si>
  <si>
    <t>1.2.1.4</t>
  </si>
  <si>
    <t>Bonding and properties</t>
  </si>
  <si>
    <t>Describe the properties of ionic, covalent and metallic compounds, e.g. melting and boiling point, thermal and electrical conductivity, strength and hardness.</t>
  </si>
  <si>
    <t>6.1, 6.2</t>
  </si>
  <si>
    <t>1.2.2.1</t>
  </si>
  <si>
    <t>Explain that the type of bonding within ionic, metallic and covalent substances determines their physical properties.</t>
  </si>
  <si>
    <t>1.2.2.2</t>
  </si>
  <si>
    <t>Explain the properties of ionic compounds by modelling ionic bonding as ions arranged in a crystalline lattice structure with strong electrostatic forces of attraction between oppositely charged ions.</t>
  </si>
  <si>
    <t>Discriminate between ionic and metallic bonding.</t>
  </si>
  <si>
    <t>Explain the properties of covalent compounds by modelling covalent bonding as the sharing of an electron pair in the region between two nuclei with a strong electrostatic force of attraction between both nuclei.</t>
  </si>
  <si>
    <t>Discriminate between covalent molecules, giant covalent networks and allotropes of carbon.</t>
  </si>
  <si>
    <t>Explain that hydrocarbons, including alkanes (saturated), alkenes (unsaturated) and benzene, have different chemical properties that are determined by the nature of the bonding within the molecules.</t>
  </si>
  <si>
    <t>1.2.2.3</t>
  </si>
  <si>
    <t>Analyse data to determine the properties, structure and bonding of ionic, covalent and metallic compounds.</t>
  </si>
  <si>
    <t>1.2.2.4</t>
  </si>
  <si>
    <t>Topic 3:  Chemical reactions — reactants, products and energy change</t>
  </si>
  <si>
    <t>Chemical reactions</t>
  </si>
  <si>
    <t>Identify that chemical reactions and phase changes involve energy changes, commonly observable as changes in the temperature of the surroundings and/or the emission of light</t>
  </si>
  <si>
    <t>1.3.1.1</t>
  </si>
  <si>
    <t>Determine balanced chemical equations, including state symbols (s), (l), (g) and (aq), for a variety of reactions, e.g. single displacement, double-displacement, acid-base, combustion, combination, decomposition and simple redox reactions.</t>
  </si>
  <si>
    <t>1.3.1.2</t>
  </si>
  <si>
    <t>Exothermic and endothermic reactions</t>
  </si>
  <si>
    <t>State that heat is a form of energy, and that temperature is a measure of the average kinetic energy of the particles.</t>
  </si>
  <si>
    <t>1.3.2.2</t>
  </si>
  <si>
    <t>Explain how endothermic and exothermic reactions relate to the law of conservation of energy and the breaking and reforming of bonds.</t>
  </si>
  <si>
    <t>1.3.2.1</t>
  </si>
  <si>
    <t>Discriminate between exothermic and endothermic reactions.</t>
  </si>
  <si>
    <t>1.3.2.3</t>
  </si>
  <si>
    <t>Sketch enthalpy level diagrams for exothermic and endothermic reactions.</t>
  </si>
  <si>
    <t>1.3.2.5</t>
  </si>
  <si>
    <t>Analyse enthalpy level diagrams and thermochemical equations to determine the relative stabilities of reactants and products, and the sign of the enthalpy change (ΔH) for a reaction.</t>
  </si>
  <si>
    <t>Explain, in terms of average bond enthalpies, why reactions are exothermic or endothermic.</t>
  </si>
  <si>
    <t>Identify the limitations of using average bond enthalpies to calculate enthalpy change.</t>
  </si>
  <si>
    <t>Calculate the heat change (Q) for a substance given the mass, specific heat capacity and temperature change. (Formula: Q = mcΔT)</t>
  </si>
  <si>
    <t>1.3.2.7</t>
  </si>
  <si>
    <r>
      <t>Calculate the enthalpy change (ΔH) for a reaction given temperature changes, quantities of reactants and mass of water. (Formula: ΔH = H</t>
    </r>
    <r>
      <rPr>
        <vertAlign val="subscript"/>
        <sz val="11"/>
        <color theme="1"/>
        <rFont val="Calibri"/>
        <family val="2"/>
      </rPr>
      <t>(products)</t>
    </r>
    <r>
      <rPr>
        <sz val="11"/>
        <color theme="1"/>
        <rFont val="Calibri"/>
        <family val="2"/>
      </rPr>
      <t xml:space="preserve"> – H</t>
    </r>
    <r>
      <rPr>
        <vertAlign val="subscript"/>
        <sz val="11"/>
        <color theme="1"/>
        <rFont val="Calibri"/>
        <family val="2"/>
      </rPr>
      <t>(reactants)</t>
    </r>
    <r>
      <rPr>
        <sz val="11"/>
        <color theme="1"/>
        <rFont val="Calibri"/>
        <family val="2"/>
      </rPr>
      <t>)</t>
    </r>
  </si>
  <si>
    <t>Analyse data for heat of combustion, heat of neutralisation and reactions in aqueous solutions to determine heat, mass, specific heat capacity, temperature and enthalpy change.</t>
  </si>
  <si>
    <t>1.3.2.6</t>
  </si>
  <si>
    <t>Mole concept and law of conservation of mass</t>
  </si>
  <si>
    <t>State that a mole is a precisely defined quantity of matter equal to Avogadro’s number of particles.</t>
  </si>
  <si>
    <t>1.3.5.1</t>
  </si>
  <si>
    <t>State the law of conservation of mass.</t>
  </si>
  <si>
    <t>1.3.5.2</t>
  </si>
  <si>
    <t>Explain that the mole concept relates mass, moles and molar mass.</t>
  </si>
  <si>
    <t>Apply the mole concept to calculate the mass of reactants and products; amount of substance in moles; number of representative particles; and molar mass of atoms, ions, molecules and formula units. (Formula: moles (n) = mass(m)/molar mass (M))</t>
  </si>
  <si>
    <t>1.07, 1.08</t>
  </si>
  <si>
    <t>1.3.5.6</t>
  </si>
  <si>
    <t>Determine the percentage composition from relative atomic masses; empirical formula of a compound from the percentage composition by mass; and molecular formula of a compound from its empirical formula and molar mass.</t>
  </si>
  <si>
    <t>1.3.5.7</t>
  </si>
  <si>
    <t>Determine limiting reactants.</t>
  </si>
  <si>
    <t>1.3.5.4</t>
  </si>
  <si>
    <t>Discriminate between experimental and theoretical yield.</t>
  </si>
  <si>
    <t>1.3.5.5</t>
  </si>
  <si>
    <t>Analyse data to determine percentage and theoretical yield. (Formula: percentage yield (%) = experimental yeild/theoretical yeild × 100/1)</t>
  </si>
  <si>
    <t>1.3.5.8</t>
  </si>
  <si>
    <t>1.11, 1,12</t>
  </si>
  <si>
    <t>1.11, 1.12</t>
  </si>
  <si>
    <t>2: Molecular interactions and reactions</t>
  </si>
  <si>
    <t>Topic 1:  Intermolecular forces and gases</t>
  </si>
  <si>
    <t>Intermolecular forces</t>
  </si>
  <si>
    <t>Apply the valence shell electron pair repulsion (VSEPR) theory to determine the shape and bond angles of linear, bent, trigonal planar, tetrahedral and pyramidal molecules. (Hybridization involving d-orbitals are not required.)</t>
  </si>
  <si>
    <t>2.1.1.1</t>
  </si>
  <si>
    <t>Determine the polarity of molecules using molecular shape, understanding of symmetry, and comparison of the electronegativity of elements.</t>
  </si>
  <si>
    <t>2.1.1.2</t>
  </si>
  <si>
    <t>Explain the relationship between vapour pressure, melting point, boiling point and solubility, and the nature and strength of intermolecular forces (e.g. dispersion forces, dipole-dipole attractions, and hydrogen bonding) within molecular covalent substances.</t>
  </si>
  <si>
    <t>2.1.1.3</t>
  </si>
  <si>
    <t>Chromatography techniques</t>
  </si>
  <si>
    <t>Identify that paper and thin layer chromatography can be used to determine the composition and purity of substances.</t>
  </si>
  <si>
    <t>2.1.2.1</t>
  </si>
  <si>
    <t>Explain how variations in the strength of the interactions between atoms, molecules or ions in the mobile and stationary phases can be used to separate components.</t>
  </si>
  <si>
    <t>2.1.2.2</t>
  </si>
  <si>
    <r>
      <t>Analyse paper and thin layer (TLC) chromatographs to determine the composition and purity of substances, including calculating R</t>
    </r>
    <r>
      <rPr>
        <vertAlign val="subscript"/>
        <sz val="11"/>
        <color theme="1"/>
        <rFont val="Calibri"/>
        <family val="2"/>
      </rPr>
      <t>f</t>
    </r>
    <r>
      <rPr>
        <sz val="11"/>
        <color theme="1"/>
        <rFont val="Calibri"/>
        <family val="2"/>
      </rPr>
      <t xml:space="preserve"> values.</t>
    </r>
  </si>
  <si>
    <t>2.1.2.3</t>
  </si>
  <si>
    <t>Gases</t>
  </si>
  <si>
    <t>State the relationship between the volume of a gas, number of moles and molar volume at standard temperature and pressure (STP).</t>
  </si>
  <si>
    <t>2.1.3.1</t>
  </si>
  <si>
    <t>Apply the kinetic theory of gases to explain the relationships between pressure, temperature, and volume of a gas.</t>
  </si>
  <si>
    <t>2.1.3.2</t>
  </si>
  <si>
    <t>Identify that the kinetic theory of gases applies to ideal gases.</t>
  </si>
  <si>
    <t>2.1.3.3</t>
  </si>
  <si>
    <t>Apply the ideal gas equation to calculate the mass of chemicals and/or the volume of a gas (STP) involved in a chemical reaction. (Formula: PV = nRT)</t>
  </si>
  <si>
    <t>2.1.3.4</t>
  </si>
  <si>
    <t>Analyse data to determine the relationships between pressure, temperature, and volume of a gas.</t>
  </si>
  <si>
    <t>Topic 2:  Aqueous solutions and acidity</t>
  </si>
  <si>
    <t>Aqueous solutions and molarity</t>
  </si>
  <si>
    <t>Explain that the unique properties of water are related to molecular shape and hydrogen bonding between molecules.</t>
  </si>
  <si>
    <t>2.2.1.1</t>
  </si>
  <si>
    <r>
      <t xml:space="preserve">Discriminate between the terms </t>
    </r>
    <r>
      <rPr>
        <i/>
        <sz val="11"/>
        <color theme="1"/>
        <rFont val="Calibri"/>
        <family val="2"/>
      </rPr>
      <t>solute</t>
    </r>
    <r>
      <rPr>
        <sz val="11"/>
        <color theme="1"/>
        <rFont val="Calibri"/>
        <family val="2"/>
      </rPr>
      <t xml:space="preserve">, </t>
    </r>
    <r>
      <rPr>
        <i/>
        <sz val="11"/>
        <color theme="1"/>
        <rFont val="Calibri"/>
        <family val="2"/>
      </rPr>
      <t>solvent</t>
    </r>
    <r>
      <rPr>
        <sz val="11"/>
        <color theme="1"/>
        <rFont val="Calibri"/>
        <family val="2"/>
      </rPr>
      <t xml:space="preserve">, </t>
    </r>
    <r>
      <rPr>
        <i/>
        <sz val="11"/>
        <color theme="1"/>
        <rFont val="Calibri"/>
        <family val="2"/>
      </rPr>
      <t>solution</t>
    </r>
    <r>
      <rPr>
        <sz val="11"/>
        <color theme="1"/>
        <rFont val="Calibri"/>
        <family val="2"/>
      </rPr>
      <t>.</t>
    </r>
  </si>
  <si>
    <t>2.2.1.2</t>
  </si>
  <si>
    <r>
      <t xml:space="preserve">Discriminate between the terms </t>
    </r>
    <r>
      <rPr>
        <i/>
        <sz val="11"/>
        <color theme="1"/>
        <rFont val="Calibri"/>
        <family val="2"/>
      </rPr>
      <t>strength</t>
    </r>
    <r>
      <rPr>
        <sz val="11"/>
        <color theme="1"/>
        <rFont val="Calibri"/>
        <family val="2"/>
      </rPr>
      <t xml:space="preserve"> and </t>
    </r>
    <r>
      <rPr>
        <i/>
        <sz val="11"/>
        <color theme="1"/>
        <rFont val="Calibri"/>
        <family val="2"/>
      </rPr>
      <t>concentration</t>
    </r>
    <r>
      <rPr>
        <sz val="11"/>
        <color theme="1"/>
        <rFont val="Calibri"/>
        <family val="2"/>
      </rPr>
      <t>, e.g. acidic/basic solutions.</t>
    </r>
  </si>
  <si>
    <t>State that square brackets ([ ]) are used to denote concentration.</t>
  </si>
  <si>
    <t>Discriminate between unsaturated, saturated and supersaturated solutions.</t>
  </si>
  <si>
    <t>2.2.1.4</t>
  </si>
  <si>
    <t>Apply the mole concept to calculate moles of solute, concentration and volume of a solution . (Formula: Molarity/Concentration (c) = moles of solute (n)/volume of solution (V))</t>
  </si>
  <si>
    <t>2.2.1.5</t>
  </si>
  <si>
    <t>Identifying ions in a solution</t>
  </si>
  <si>
    <t>Apply ionic and chemical formulas to construct balanced ionic and chemical equations (including states) for precipitation reactions.</t>
  </si>
  <si>
    <t>2.2.2.3</t>
  </si>
  <si>
    <t>Apply solubility rules to predict if a precipitation will be formed.</t>
  </si>
  <si>
    <t>2.2.2.1</t>
  </si>
  <si>
    <t>Analyse data, including precipitation and acid-carbonate reactions, to determine the presence of specific ions in solutions.</t>
  </si>
  <si>
    <t>2.2.2.2</t>
  </si>
  <si>
    <t>Solubility</t>
  </si>
  <si>
    <t>Compare the solubility of ionic and molecular substance in water, and the intermolecular forces between species in the substances and water molecules.</t>
  </si>
  <si>
    <t>2.2.3.1</t>
  </si>
  <si>
    <t>Identify that changes in solvent temperature can affect the solubility of solid and gaseous solutes (solids and gases).</t>
  </si>
  <si>
    <t>2.2.3.2</t>
  </si>
  <si>
    <t>Analyse data, including solubility curves, to determine the solubility of ionic compounds and the concentration of ions in aqueous solutions.</t>
  </si>
  <si>
    <t>2.2.3.3</t>
  </si>
  <si>
    <t>pH</t>
  </si>
  <si>
    <t>State that pH is dependent on the concentration of hydrogen ions in solution.</t>
  </si>
  <si>
    <t>2.2.4.1</t>
  </si>
  <si>
    <t>Identify that the pH scale is a logarithmic scale.</t>
  </si>
  <si>
    <t>Apply the pH scale to compare the levels of acidity or alkalinity of aqueous solutions.</t>
  </si>
  <si>
    <t>2.2.4.2</t>
  </si>
  <si>
    <t>Apply the Arrhenius model to explain the behaviour of strong and weak acids and bases in aqueous solutions.</t>
  </si>
  <si>
    <t>2.2.4.3</t>
  </si>
  <si>
    <t>Reaction of acids</t>
  </si>
  <si>
    <t>Determine balanced chemical and ionic equation (including states) for the reactions of acids with bases, metals and carbonates.</t>
  </si>
  <si>
    <t>2.2.5.1</t>
  </si>
  <si>
    <t>Topic 3:  Rates of chemical reactions</t>
  </si>
  <si>
    <t>Rates of reactions</t>
  </si>
  <si>
    <t>Explain how temperature, surface area, pressure (gaseous systems), concentration and the presence of a catalyst can affect the rate of the reaction.</t>
  </si>
  <si>
    <t>2.3.1.1</t>
  </si>
  <si>
    <t>Apply the collision theory to determine the effect of concentration, temperature, pressure and surface area on the rate of chemical reactions.</t>
  </si>
  <si>
    <t>2.3.1.2</t>
  </si>
  <si>
    <t>Sketch Maxwell-Boltzmann distribution curves for reactions with and without catalysts.</t>
  </si>
  <si>
    <t>2.3.1.3</t>
  </si>
  <si>
    <r>
      <t>Describe activation energy (E</t>
    </r>
    <r>
      <rPr>
        <vertAlign val="subscript"/>
        <sz val="11"/>
        <color theme="1"/>
        <rFont val="Calibri"/>
        <family val="2"/>
      </rPr>
      <t>a</t>
    </r>
    <r>
      <rPr>
        <sz val="11"/>
        <color theme="1"/>
        <rFont val="Calibri"/>
        <family val="2"/>
      </rPr>
      <t>).</t>
    </r>
  </si>
  <si>
    <t>2.3.1.4</t>
  </si>
  <si>
    <t>Explain the relationship between the strength and number of the existing chemical bonds, the magnitude of the activation energy and the rate of a chemical reaction.</t>
  </si>
  <si>
    <t>Sketch energy profile diagrams for reactions with and without catalysts.</t>
  </si>
  <si>
    <t>2.3.1.5</t>
  </si>
  <si>
    <t>Analyse energy profile diagrams for reactions with and without catalysts, to determine the enthalpy change and activation energy.</t>
  </si>
  <si>
    <t>Explain how catalysts affect the rate of a chemical reaction.</t>
  </si>
  <si>
    <t>2.3.1.6</t>
  </si>
  <si>
    <t>Calculate the rate of chemical reactions by measuring the rate of formation of products or the depletion of reactants. (Formula: rate of reaction = increase in product concentration (Δ[P])/time taken or decrease in reactant concentration (−Δ[R])/time taken)</t>
  </si>
  <si>
    <t>2.3.1.7</t>
  </si>
  <si>
    <t>Analyse data and graphical representations of relative changes in the concentration, volume and mass against time to determine rate of reaction. (Order of reaction is not required.)</t>
  </si>
  <si>
    <t>2.3.1.8</t>
  </si>
  <si>
    <t>empiric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</si>
</sst>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6"/>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sz val="11"/>
      <color theme="1"/>
      <name val="Calibri"/>
      <family val="2"/>
    </font>
    <font>
      <sz val="12"/>
      <color rgb="FF9C0006"/>
      <name val="Aptos Narrow"/>
      <family val="2"/>
      <scheme val="minor"/>
    </font>
    <font>
      <vertAlign val="superscript"/>
      <sz val="11"/>
      <color theme="1"/>
      <name val="Calibri"/>
      <family val="2"/>
    </font>
    <font>
      <vertAlign val="subscript"/>
      <sz val="11"/>
      <color theme="1"/>
      <name val="Calibri"/>
      <family val="2"/>
    </font>
    <font>
      <sz val="11"/>
      <color rgb="FF9C0006"/>
      <name val="Calibri"/>
      <family val="2"/>
    </font>
    <font>
      <sz val="12"/>
      <color rgb="FF9C0006"/>
      <name val="Calibri"/>
      <family val="2"/>
    </font>
    <font>
      <sz val="11"/>
      <color rgb="FF000000"/>
      <name val="Calibri"/>
      <family val="2"/>
    </font>
    <font>
      <i/>
      <sz val="11"/>
      <color theme="1"/>
      <name val="Calibri"/>
      <family val="2"/>
    </font>
  </fonts>
  <fills count="4">
    <fill>
      <patternFill patternType="none"/>
    </fill>
    <fill>
      <patternFill patternType="gray125"/>
    </fill>
    <fill>
      <patternFill patternType="solid">
        <fgColor rgb="FFFFC7CE"/>
      </patternFill>
    </fill>
    <fill>
      <patternFill patternType="solid">
        <fgColor theme="2"/>
        <bgColor indexed="64"/>
      </patternFill>
    </fill>
  </fills>
  <borders count="2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0" fontId="6" fillId="2" borderId="0" applyNumberFormat="0" applyBorder="0" applyAlignment="0" applyProtection="0"/>
  </cellStyleXfs>
  <cellXfs count="64">
    <xf numFmtId="0" fontId="0" fillId="0" borderId="0" xfId="0"/>
    <xf numFmtId="0" fontId="0" fillId="0" borderId="0" xfId="0"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5" fillId="0" borderId="8" xfId="0" applyFont="1" applyBorder="1" applyAlignment="1">
      <alignment wrapText="1"/>
    </xf>
    <xf numFmtId="0" fontId="0" fillId="0" borderId="0" xfId="0" applyAlignment="1">
      <alignment horizontal="center"/>
    </xf>
    <xf numFmtId="0" fontId="0" fillId="0" borderId="7" xfId="0" applyBorder="1" applyAlignment="1">
      <alignment horizontal="center" vertical="center" wrapText="1"/>
    </xf>
    <xf numFmtId="0" fontId="5" fillId="0" borderId="13" xfId="0" applyFont="1" applyBorder="1" applyAlignment="1">
      <alignment wrapText="1"/>
    </xf>
    <xf numFmtId="0" fontId="0" fillId="0" borderId="7" xfId="0" applyBorder="1" applyAlignment="1">
      <alignment horizontal="center" vertical="center"/>
    </xf>
    <xf numFmtId="2" fontId="5" fillId="0" borderId="8" xfId="0" applyNumberFormat="1" applyFont="1" applyBorder="1" applyAlignment="1">
      <alignment horizontal="center" wrapText="1"/>
    </xf>
    <xf numFmtId="2" fontId="5" fillId="0" borderId="13" xfId="0" applyNumberFormat="1" applyFont="1" applyBorder="1" applyAlignment="1">
      <alignment horizontal="center" wrapText="1"/>
    </xf>
    <xf numFmtId="2" fontId="5" fillId="0" borderId="21" xfId="0" applyNumberFormat="1" applyFont="1" applyBorder="1" applyAlignment="1">
      <alignment horizontal="center" wrapText="1"/>
    </xf>
    <xf numFmtId="0" fontId="5" fillId="0" borderId="19" xfId="0" applyFont="1" applyBorder="1" applyAlignment="1">
      <alignment wrapText="1"/>
    </xf>
    <xf numFmtId="2" fontId="5" fillId="0" borderId="19" xfId="0" applyNumberFormat="1" applyFont="1" applyBorder="1" applyAlignment="1">
      <alignment horizontal="center" wrapText="1"/>
    </xf>
    <xf numFmtId="0" fontId="5" fillId="0" borderId="15" xfId="0" applyFont="1" applyBorder="1" applyAlignment="1">
      <alignment wrapText="1"/>
    </xf>
    <xf numFmtId="2" fontId="5" fillId="0" borderId="15" xfId="0" applyNumberFormat="1" applyFont="1" applyBorder="1" applyAlignment="1">
      <alignment horizontal="center" wrapText="1"/>
    </xf>
    <xf numFmtId="2" fontId="5" fillId="0" borderId="9" xfId="0" applyNumberFormat="1" applyFont="1" applyBorder="1" applyAlignment="1">
      <alignment horizontal="center" wrapText="1"/>
    </xf>
    <xf numFmtId="0" fontId="5" fillId="0" borderId="9" xfId="0" applyFont="1" applyBorder="1" applyAlignment="1">
      <alignment wrapText="1"/>
    </xf>
    <xf numFmtId="2" fontId="0" fillId="0" borderId="7" xfId="0" applyNumberFormat="1" applyBorder="1" applyAlignment="1">
      <alignment horizontal="center" vertical="center"/>
    </xf>
    <xf numFmtId="0" fontId="9" fillId="0" borderId="8" xfId="1" applyFont="1" applyFill="1" applyBorder="1" applyAlignment="1">
      <alignment horizontal="center" vertical="center" wrapText="1"/>
    </xf>
    <xf numFmtId="0" fontId="9" fillId="0" borderId="13" xfId="1" applyFont="1" applyFill="1" applyBorder="1" applyAlignment="1">
      <alignment horizontal="center" vertical="center" wrapText="1"/>
    </xf>
    <xf numFmtId="0" fontId="9" fillId="0" borderId="19" xfId="1" applyFont="1" applyFill="1" applyBorder="1" applyAlignment="1">
      <alignment horizontal="center" vertical="center" wrapText="1"/>
    </xf>
    <xf numFmtId="0" fontId="10" fillId="0" borderId="8" xfId="1" applyFont="1" applyFill="1" applyBorder="1" applyAlignment="1">
      <alignment horizontal="center" vertical="center" wrapText="1"/>
    </xf>
    <xf numFmtId="0" fontId="10" fillId="0" borderId="13" xfId="1" applyFont="1" applyFill="1" applyBorder="1" applyAlignment="1">
      <alignment horizontal="center" vertical="center" wrapText="1"/>
    </xf>
    <xf numFmtId="0" fontId="10" fillId="0" borderId="19" xfId="1" applyFont="1" applyFill="1" applyBorder="1" applyAlignment="1">
      <alignment horizontal="center" vertical="center" wrapText="1"/>
    </xf>
    <xf numFmtId="0" fontId="10" fillId="0" borderId="21" xfId="1" applyFont="1" applyFill="1" applyBorder="1" applyAlignment="1">
      <alignment horizontal="center" vertical="center" wrapText="1"/>
    </xf>
    <xf numFmtId="0" fontId="10" fillId="0" borderId="15" xfId="1" applyFont="1" applyFill="1" applyBorder="1" applyAlignment="1">
      <alignment horizontal="center" vertical="center" wrapText="1"/>
    </xf>
    <xf numFmtId="0" fontId="10" fillId="0" borderId="9" xfId="1"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6" fillId="0" borderId="8" xfId="1" applyFill="1" applyBorder="1" applyAlignment="1">
      <alignment horizontal="center" vertical="center" wrapText="1"/>
    </xf>
    <xf numFmtId="0" fontId="4" fillId="0" borderId="12" xfId="0" applyFont="1" applyBorder="1" applyAlignment="1">
      <alignment horizontal="center" vertical="center" wrapText="1"/>
    </xf>
    <xf numFmtId="0" fontId="6" fillId="0" borderId="13" xfId="1" applyFill="1" applyBorder="1" applyAlignment="1">
      <alignment horizontal="center" vertical="center" wrapText="1"/>
    </xf>
    <xf numFmtId="0" fontId="4" fillId="0" borderId="16" xfId="0" applyFont="1" applyBorder="1" applyAlignment="1">
      <alignment horizontal="center" vertical="center" wrapText="1"/>
    </xf>
    <xf numFmtId="0" fontId="6" fillId="0" borderId="19" xfId="1" applyFill="1" applyBorder="1" applyAlignment="1">
      <alignment horizontal="center" vertical="center" wrapText="1"/>
    </xf>
    <xf numFmtId="0" fontId="4" fillId="0" borderId="20" xfId="0" applyFont="1" applyBorder="1" applyAlignment="1">
      <alignment horizontal="center" vertical="center" wrapText="1"/>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3" fillId="0" borderId="11" xfId="0" applyFont="1" applyBorder="1" applyAlignment="1">
      <alignment horizontal="center" vertical="center" textRotation="90" wrapText="1"/>
    </xf>
    <xf numFmtId="0" fontId="3" fillId="0" borderId="15" xfId="0" applyFont="1" applyBorder="1" applyAlignment="1">
      <alignment horizontal="center" vertical="center" textRotation="90" wrapText="1"/>
    </xf>
    <xf numFmtId="0" fontId="3" fillId="0" borderId="18" xfId="0" applyFont="1" applyBorder="1" applyAlignment="1">
      <alignment horizontal="center" vertical="center" textRotation="90"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8" xfId="0" applyFont="1" applyBorder="1" applyAlignment="1">
      <alignment horizontal="center" vertical="center" wrapText="1"/>
    </xf>
    <xf numFmtId="0" fontId="3" fillId="0" borderId="9" xfId="0" applyFont="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9" xfId="0" applyFont="1" applyBorder="1" applyAlignment="1">
      <alignment horizontal="center" vertical="center" textRotation="90" wrapText="1"/>
    </xf>
    <xf numFmtId="0" fontId="3" fillId="0" borderId="8" xfId="0" applyFont="1" applyBorder="1" applyAlignment="1">
      <alignment horizontal="center" vertical="center" textRotation="90" wrapText="1"/>
    </xf>
    <xf numFmtId="0" fontId="4" fillId="0" borderId="10"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3" xfId="0" applyFont="1" applyBorder="1" applyAlignment="1">
      <alignment horizontal="center" vertical="center" wrapText="1"/>
    </xf>
  </cellXfs>
  <cellStyles count="2">
    <cellStyle name="Bad" xfId="1" builtinId="27"/>
    <cellStyle name="Normal" xfId="0" builtinId="0"/>
  </cellStyles>
  <dxfs count="243">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color rgb="FF9C5700"/>
      </font>
      <fill>
        <patternFill>
          <bgColor rgb="FFFFEB9C"/>
        </patternFill>
      </fill>
    </dxf>
    <dxf>
      <font>
        <color rgb="FF9C0006"/>
      </font>
      <fill>
        <patternFill>
          <bgColor rgb="FFFFC7CE"/>
        </patternFill>
      </fill>
    </dxf>
    <dxf>
      <font>
        <strike/>
        <color rgb="FF076304"/>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strike/>
        <color rgb="FF076304"/>
      </font>
      <fill>
        <patternFill>
          <bgColor rgb="FFC6EF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auto="1"/>
      </font>
      <fill>
        <patternFill>
          <bgColor rgb="FFFFEB9C"/>
        </patternFill>
      </fill>
    </dxf>
    <dxf>
      <font>
        <strike/>
        <color auto="1"/>
      </font>
      <fill>
        <patternFill>
          <bgColor rgb="FFC6EFCE"/>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EB9C"/>
        </patternFill>
      </fill>
    </dxf>
    <dxf>
      <font>
        <color auto="1"/>
      </font>
      <fill>
        <patternFill>
          <bgColor rgb="FFFFC7CE"/>
        </patternFill>
      </fill>
    </dxf>
    <dxf>
      <font>
        <color auto="1"/>
      </font>
      <fill>
        <patternFill>
          <bgColor rgb="FFFFC7CE"/>
        </patternFill>
      </fill>
    </dxf>
    <dxf>
      <font>
        <color auto="1"/>
      </font>
      <fill>
        <patternFill>
          <bgColor rgb="FFFFEB9C"/>
        </patternFill>
      </fill>
    </dxf>
    <dxf>
      <font>
        <strike/>
        <color auto="1"/>
      </font>
      <fill>
        <patternFill>
          <bgColor rgb="FFC6EFCE"/>
        </patternFill>
      </fill>
    </dxf>
    <dxf>
      <font>
        <strike/>
        <color auto="1"/>
      </font>
      <fill>
        <patternFill>
          <bgColor rgb="FFC6EFCE"/>
        </patternFill>
      </fill>
    </dxf>
    <dxf>
      <font>
        <color auto="1"/>
      </font>
      <fill>
        <patternFill>
          <bgColor rgb="FFFFC7CE"/>
        </patternFill>
      </fill>
    </dxf>
    <dxf>
      <font>
        <color auto="1"/>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C222-CE9F-456A-912B-0FF6AD7F1DBF}">
  <sheetPr>
    <pageSetUpPr fitToPage="1"/>
  </sheetPr>
  <dimension ref="B1:N78"/>
  <sheetViews>
    <sheetView tabSelected="1" zoomScale="85" zoomScaleNormal="85" workbookViewId="0">
      <pane xSplit="5" ySplit="3" topLeftCell="F34" activePane="bottomRight" state="frozen"/>
      <selection pane="topRight" activeCell="F1" sqref="F1"/>
      <selection pane="bottomLeft" activeCell="A4" sqref="A4"/>
      <selection pane="bottomRight" activeCell="D44" sqref="D44:D51"/>
    </sheetView>
  </sheetViews>
  <sheetFormatPr defaultColWidth="10.625" defaultRowHeight="15.75" x14ac:dyDescent="0.25"/>
  <cols>
    <col min="1" max="1" width="3.25" customWidth="1"/>
    <col min="2" max="3" width="6.75" customWidth="1"/>
    <col min="4" max="4" width="19.625" customWidth="1"/>
    <col min="5" max="5" width="5.625" customWidth="1"/>
    <col min="6" max="6" width="101" customWidth="1"/>
    <col min="7" max="7" width="15.625" style="9" customWidth="1"/>
    <col min="8" max="8" width="15.75" customWidth="1"/>
    <col min="9" max="9" width="18.25" customWidth="1"/>
    <col min="10" max="12" width="2.75" hidden="1" customWidth="1"/>
    <col min="13" max="13" width="10.625" hidden="1" customWidth="1"/>
    <col min="14" max="14" width="0" style="1" hidden="1" customWidth="1"/>
  </cols>
  <sheetData>
    <row r="1" spans="2:14" ht="16.5" thickBot="1" x14ac:dyDescent="0.3">
      <c r="G1"/>
    </row>
    <row r="2" spans="2:14" ht="21.75" thickBot="1" x14ac:dyDescent="0.4">
      <c r="B2" s="44" t="s">
        <v>0</v>
      </c>
      <c r="C2" s="45"/>
      <c r="D2" s="45"/>
      <c r="E2" s="45"/>
      <c r="F2" s="45"/>
      <c r="G2" s="45"/>
      <c r="H2" s="45"/>
      <c r="I2" s="46"/>
    </row>
    <row r="3" spans="2:14" ht="45" customHeight="1" thickBot="1" x14ac:dyDescent="0.3">
      <c r="B3" s="2" t="s">
        <v>1</v>
      </c>
      <c r="C3" s="2" t="s">
        <v>2</v>
      </c>
      <c r="D3" s="3" t="s">
        <v>3</v>
      </c>
      <c r="E3" s="2"/>
      <c r="F3" s="4" t="s">
        <v>4</v>
      </c>
      <c r="G3" s="4" t="s">
        <v>5</v>
      </c>
      <c r="H3" s="5" t="s">
        <v>6</v>
      </c>
      <c r="I3" s="6" t="s">
        <v>7</v>
      </c>
      <c r="N3" s="7" t="s">
        <v>8</v>
      </c>
    </row>
    <row r="4" spans="2:14" ht="15.75" customHeight="1" x14ac:dyDescent="0.25">
      <c r="B4" s="47" t="s">
        <v>9</v>
      </c>
      <c r="C4" s="47" t="s">
        <v>10</v>
      </c>
      <c r="D4" s="50" t="s">
        <v>11</v>
      </c>
      <c r="E4" s="50" t="str">
        <f>TEXT(J4,"0")&amp;"."&amp;TEXT(K4,"0")&amp;"."&amp;TEXT(L4,"0")</f>
        <v>1.1.1</v>
      </c>
      <c r="F4" s="8" t="s">
        <v>12</v>
      </c>
      <c r="G4" s="23">
        <v>1.01</v>
      </c>
      <c r="H4" s="26">
        <v>2.1</v>
      </c>
      <c r="I4" s="32">
        <v>1</v>
      </c>
      <c r="J4" s="9">
        <v>1</v>
      </c>
      <c r="K4" s="9">
        <v>1</v>
      </c>
      <c r="L4">
        <v>1</v>
      </c>
      <c r="M4" s="9" t="str">
        <f>TEXT(J4,"0")&amp;"."&amp;TEXT(K4,"0")&amp;"."&amp;TEXT(L4,"0")</f>
        <v>1.1.1</v>
      </c>
      <c r="N4" s="10" t="s">
        <v>13</v>
      </c>
    </row>
    <row r="5" spans="2:14" x14ac:dyDescent="0.25">
      <c r="B5" s="48"/>
      <c r="C5" s="48"/>
      <c r="D5" s="51"/>
      <c r="E5" s="51"/>
      <c r="F5" s="11" t="s">
        <v>14</v>
      </c>
      <c r="G5" s="24">
        <v>1.01</v>
      </c>
      <c r="H5" s="27">
        <v>2.1</v>
      </c>
      <c r="I5" s="33">
        <v>1</v>
      </c>
      <c r="J5" s="9">
        <v>1</v>
      </c>
      <c r="K5" s="9">
        <v>1</v>
      </c>
      <c r="L5">
        <v>1</v>
      </c>
      <c r="M5" s="9" t="str">
        <f>TEXT(J5,"0")&amp;"."&amp;TEXT(K5,"0")&amp;"."&amp;TEXT(L5,"0")</f>
        <v>1.1.1</v>
      </c>
      <c r="N5" s="12"/>
    </row>
    <row r="6" spans="2:14" ht="31.9" customHeight="1" x14ac:dyDescent="0.25">
      <c r="B6" s="48"/>
      <c r="C6" s="48"/>
      <c r="D6" s="51"/>
      <c r="E6" s="51"/>
      <c r="F6" s="11" t="s">
        <v>15</v>
      </c>
      <c r="G6" s="24">
        <v>1.01</v>
      </c>
      <c r="H6" s="27">
        <v>2.1</v>
      </c>
      <c r="I6" s="33">
        <v>1</v>
      </c>
      <c r="J6" s="9">
        <v>1</v>
      </c>
      <c r="K6" s="9">
        <v>1</v>
      </c>
      <c r="L6">
        <v>1</v>
      </c>
      <c r="M6" s="9" t="str">
        <f>TEXT(J6,"0")&amp;"."&amp;TEXT(K6,"0")&amp;"."&amp;TEXT(L6,"0")</f>
        <v>1.1.1</v>
      </c>
      <c r="N6" s="12" t="s">
        <v>16</v>
      </c>
    </row>
    <row r="7" spans="2:14" x14ac:dyDescent="0.25">
      <c r="B7" s="48"/>
      <c r="C7" s="48"/>
      <c r="D7" s="51"/>
      <c r="E7" s="51"/>
      <c r="F7" s="11" t="s">
        <v>17</v>
      </c>
      <c r="G7" s="24">
        <v>1.02</v>
      </c>
      <c r="H7" s="27">
        <v>2.5</v>
      </c>
      <c r="I7" s="33">
        <v>1</v>
      </c>
      <c r="J7" s="9">
        <v>1</v>
      </c>
      <c r="K7" s="9">
        <v>1</v>
      </c>
      <c r="L7">
        <v>1</v>
      </c>
      <c r="M7" s="9" t="str">
        <f t="shared" ref="M7:M10" si="0">TEXT(J7,"0")&amp;"."&amp;TEXT(K7,"0")&amp;"."&amp;TEXT(L7,"0")</f>
        <v>1.1.1</v>
      </c>
      <c r="N7" s="12" t="s">
        <v>18</v>
      </c>
    </row>
    <row r="8" spans="2:14" ht="30" x14ac:dyDescent="0.25">
      <c r="B8" s="48"/>
      <c r="C8" s="48"/>
      <c r="D8" s="51"/>
      <c r="E8" s="51"/>
      <c r="F8" s="11" t="s">
        <v>19</v>
      </c>
      <c r="G8" s="24">
        <v>1.02</v>
      </c>
      <c r="H8" s="27">
        <v>2.5</v>
      </c>
      <c r="I8" s="33">
        <v>1</v>
      </c>
      <c r="J8" s="9">
        <v>1</v>
      </c>
      <c r="K8" s="9">
        <v>1</v>
      </c>
      <c r="L8">
        <v>1</v>
      </c>
      <c r="M8" s="9" t="str">
        <f t="shared" si="0"/>
        <v>1.1.1</v>
      </c>
      <c r="N8" s="12" t="s">
        <v>20</v>
      </c>
    </row>
    <row r="9" spans="2:14" ht="17.25" x14ac:dyDescent="0.25">
      <c r="B9" s="48"/>
      <c r="C9" s="48"/>
      <c r="D9" s="51"/>
      <c r="E9" s="51"/>
      <c r="F9" s="11" t="s">
        <v>21</v>
      </c>
      <c r="G9" s="24">
        <v>1.02</v>
      </c>
      <c r="H9" s="27">
        <v>2.5</v>
      </c>
      <c r="I9" s="33">
        <v>1</v>
      </c>
      <c r="J9" s="9">
        <v>1</v>
      </c>
      <c r="K9" s="9">
        <v>1</v>
      </c>
      <c r="L9">
        <v>1</v>
      </c>
      <c r="M9" s="9" t="str">
        <f t="shared" si="0"/>
        <v>1.1.1</v>
      </c>
      <c r="N9" s="12" t="s">
        <v>18</v>
      </c>
    </row>
    <row r="10" spans="2:14" x14ac:dyDescent="0.25">
      <c r="B10" s="48"/>
      <c r="C10" s="48"/>
      <c r="D10" s="51"/>
      <c r="E10" s="51"/>
      <c r="F10" s="11" t="s">
        <v>22</v>
      </c>
      <c r="G10" s="24">
        <v>1.02</v>
      </c>
      <c r="H10" s="27">
        <v>2.5</v>
      </c>
      <c r="I10" s="33">
        <v>1</v>
      </c>
      <c r="J10" s="9">
        <v>1</v>
      </c>
      <c r="K10" s="9">
        <v>1</v>
      </c>
      <c r="L10">
        <v>1</v>
      </c>
      <c r="M10" s="9" t="str">
        <f t="shared" si="0"/>
        <v>1.1.1</v>
      </c>
      <c r="N10" s="12" t="s">
        <v>23</v>
      </c>
    </row>
    <row r="11" spans="2:14" ht="16.5" thickBot="1" x14ac:dyDescent="0.3">
      <c r="B11" s="48"/>
      <c r="C11" s="48"/>
      <c r="D11" s="52"/>
      <c r="E11" s="52"/>
      <c r="F11" s="11" t="s">
        <v>24</v>
      </c>
      <c r="G11" s="25">
        <v>1.03</v>
      </c>
      <c r="H11" s="28">
        <v>2.5</v>
      </c>
      <c r="I11" s="34">
        <v>1</v>
      </c>
      <c r="J11" s="9">
        <v>1</v>
      </c>
      <c r="K11" s="9">
        <v>1</v>
      </c>
      <c r="L11">
        <v>1</v>
      </c>
      <c r="M11" s="9" t="str">
        <f>TEXT(J11,"0")&amp;"."&amp;TEXT(K11,"0")&amp;"."&amp;TEXT(L11,"0")</f>
        <v>1.1.1</v>
      </c>
      <c r="N11" s="12" t="s">
        <v>25</v>
      </c>
    </row>
    <row r="12" spans="2:14" x14ac:dyDescent="0.25">
      <c r="B12" s="48"/>
      <c r="C12" s="48"/>
      <c r="D12" s="50" t="s">
        <v>26</v>
      </c>
      <c r="E12" s="50" t="str">
        <f>TEXT(J12,"0")&amp;"."&amp;TEXT(K12,"0")&amp;"."&amp;TEXT(L12,"0")</f>
        <v>1.1.2</v>
      </c>
      <c r="F12" s="8" t="s">
        <v>27</v>
      </c>
      <c r="G12" s="13">
        <v>1.01</v>
      </c>
      <c r="H12" s="26">
        <v>2.2999999999999998</v>
      </c>
      <c r="I12" s="32">
        <v>1</v>
      </c>
      <c r="J12" s="9">
        <v>1</v>
      </c>
      <c r="K12" s="9">
        <v>1</v>
      </c>
      <c r="L12">
        <v>2</v>
      </c>
      <c r="M12" s="9" t="str">
        <f t="shared" ref="M12:M19" si="1">TEXT(J12,"0")&amp;"."&amp;TEXT(K12,"0")&amp;"."&amp;TEXT(L12,"0")</f>
        <v>1.1.2</v>
      </c>
      <c r="N12" s="12" t="s">
        <v>28</v>
      </c>
    </row>
    <row r="13" spans="2:14" ht="17.25" x14ac:dyDescent="0.25">
      <c r="B13" s="48"/>
      <c r="C13" s="48"/>
      <c r="D13" s="51"/>
      <c r="E13" s="51"/>
      <c r="F13" s="11" t="s">
        <v>29</v>
      </c>
      <c r="G13" s="14">
        <v>1.01</v>
      </c>
      <c r="H13" s="27">
        <v>2.2999999999999998</v>
      </c>
      <c r="I13" s="33">
        <v>1</v>
      </c>
      <c r="J13" s="9">
        <v>1</v>
      </c>
      <c r="K13" s="9">
        <v>1</v>
      </c>
      <c r="L13">
        <v>2</v>
      </c>
      <c r="M13" s="9" t="str">
        <f t="shared" si="1"/>
        <v>1.1.2</v>
      </c>
      <c r="N13" s="12" t="s">
        <v>28</v>
      </c>
    </row>
    <row r="14" spans="2:14" ht="30" x14ac:dyDescent="0.25">
      <c r="B14" s="48"/>
      <c r="C14" s="48"/>
      <c r="D14" s="51"/>
      <c r="E14" s="51"/>
      <c r="F14" s="11" t="s">
        <v>30</v>
      </c>
      <c r="G14" s="15">
        <v>1.18</v>
      </c>
      <c r="H14" s="29">
        <v>2.2999999999999998</v>
      </c>
      <c r="I14" s="35">
        <v>1</v>
      </c>
      <c r="J14" s="9">
        <v>1</v>
      </c>
      <c r="K14" s="9">
        <v>1</v>
      </c>
      <c r="L14">
        <v>2</v>
      </c>
      <c r="M14" s="9" t="str">
        <f t="shared" si="1"/>
        <v>1.1.2</v>
      </c>
      <c r="N14" s="12" t="s">
        <v>31</v>
      </c>
    </row>
    <row r="15" spans="2:14" ht="30.75" thickBot="1" x14ac:dyDescent="0.3">
      <c r="B15" s="48"/>
      <c r="C15" s="48"/>
      <c r="D15" s="52"/>
      <c r="E15" s="52"/>
      <c r="F15" s="16" t="s">
        <v>32</v>
      </c>
      <c r="G15" s="17">
        <v>1.18</v>
      </c>
      <c r="H15" s="28">
        <v>2.2999999999999998</v>
      </c>
      <c r="I15" s="34">
        <v>1</v>
      </c>
      <c r="J15" s="9">
        <v>1</v>
      </c>
      <c r="K15" s="9">
        <v>1</v>
      </c>
      <c r="L15">
        <v>2</v>
      </c>
      <c r="M15" s="9" t="str">
        <f t="shared" si="1"/>
        <v>1.1.2</v>
      </c>
      <c r="N15" s="12" t="s">
        <v>33</v>
      </c>
    </row>
    <row r="16" spans="2:14" ht="30" x14ac:dyDescent="0.25">
      <c r="B16" s="48"/>
      <c r="C16" s="48"/>
      <c r="D16" s="50" t="s">
        <v>34</v>
      </c>
      <c r="E16" s="50" t="str">
        <f>TEXT(J16,"0")&amp;"."&amp;TEXT(K16,"0")&amp;"."&amp;TEXT(L16,"0")</f>
        <v>1.1.3</v>
      </c>
      <c r="F16" s="8" t="s">
        <v>35</v>
      </c>
      <c r="G16" s="13">
        <v>1.18</v>
      </c>
      <c r="H16" s="26">
        <v>4.5</v>
      </c>
      <c r="I16" s="32">
        <v>1</v>
      </c>
      <c r="J16" s="9">
        <v>1</v>
      </c>
      <c r="K16" s="9">
        <v>1</v>
      </c>
      <c r="L16">
        <v>3</v>
      </c>
      <c r="M16" s="9" t="str">
        <f t="shared" si="1"/>
        <v>1.1.3</v>
      </c>
      <c r="N16" s="12" t="s">
        <v>36</v>
      </c>
    </row>
    <row r="17" spans="2:14" ht="30" x14ac:dyDescent="0.25">
      <c r="B17" s="48"/>
      <c r="C17" s="48"/>
      <c r="D17" s="51"/>
      <c r="E17" s="51"/>
      <c r="F17" s="11" t="s">
        <v>37</v>
      </c>
      <c r="G17" s="14">
        <v>1.18</v>
      </c>
      <c r="H17" s="27">
        <v>4.5</v>
      </c>
      <c r="I17" s="33">
        <v>1</v>
      </c>
      <c r="J17" s="9">
        <v>1</v>
      </c>
      <c r="K17" s="9">
        <v>1</v>
      </c>
      <c r="L17">
        <v>3</v>
      </c>
      <c r="M17" s="9" t="str">
        <f t="shared" si="1"/>
        <v>1.1.3</v>
      </c>
      <c r="N17" s="12" t="s">
        <v>38</v>
      </c>
    </row>
    <row r="18" spans="2:14" x14ac:dyDescent="0.25">
      <c r="B18" s="48"/>
      <c r="C18" s="48"/>
      <c r="D18" s="51"/>
      <c r="E18" s="51"/>
      <c r="F18" s="11" t="s">
        <v>39</v>
      </c>
      <c r="G18" s="14">
        <v>1.19</v>
      </c>
      <c r="H18" s="27">
        <v>4.0999999999999996</v>
      </c>
      <c r="I18" s="33">
        <v>1</v>
      </c>
      <c r="J18" s="9">
        <v>1</v>
      </c>
      <c r="K18" s="9">
        <v>1</v>
      </c>
      <c r="L18">
        <v>3</v>
      </c>
      <c r="M18" s="9" t="str">
        <f t="shared" si="1"/>
        <v>1.1.3</v>
      </c>
      <c r="N18" s="12" t="s">
        <v>40</v>
      </c>
    </row>
    <row r="19" spans="2:14" x14ac:dyDescent="0.25">
      <c r="B19" s="48"/>
      <c r="C19" s="48"/>
      <c r="D19" s="51"/>
      <c r="E19" s="51"/>
      <c r="F19" s="11" t="s">
        <v>41</v>
      </c>
      <c r="G19" s="14">
        <v>1.19</v>
      </c>
      <c r="H19" s="27">
        <v>4.0999999999999996</v>
      </c>
      <c r="I19" s="33">
        <v>1</v>
      </c>
      <c r="J19" s="9">
        <v>1</v>
      </c>
      <c r="K19" s="9">
        <v>1</v>
      </c>
      <c r="L19">
        <v>3</v>
      </c>
      <c r="M19" s="9" t="str">
        <f t="shared" si="1"/>
        <v>1.1.3</v>
      </c>
      <c r="N19" s="12" t="s">
        <v>42</v>
      </c>
    </row>
    <row r="20" spans="2:14" ht="30" x14ac:dyDescent="0.25">
      <c r="B20" s="48"/>
      <c r="C20" s="48"/>
      <c r="D20" s="51"/>
      <c r="E20" s="51"/>
      <c r="F20" s="11" t="s">
        <v>43</v>
      </c>
      <c r="G20" s="14">
        <v>1.19</v>
      </c>
      <c r="H20" s="27">
        <v>4.2</v>
      </c>
      <c r="I20" s="33">
        <v>1</v>
      </c>
      <c r="J20" s="9">
        <v>1</v>
      </c>
      <c r="K20" s="9">
        <v>1</v>
      </c>
      <c r="L20">
        <v>3</v>
      </c>
      <c r="M20" s="9" t="str">
        <f>TEXT(J20,"0")&amp;"."&amp;TEXT(K20,"0")&amp;"."&amp;TEXT(L20,"0")</f>
        <v>1.1.3</v>
      </c>
      <c r="N20" s="12" t="s">
        <v>40</v>
      </c>
    </row>
    <row r="21" spans="2:14" ht="30.75" thickBot="1" x14ac:dyDescent="0.3">
      <c r="B21" s="48"/>
      <c r="C21" s="48"/>
      <c r="D21" s="52"/>
      <c r="E21" s="52"/>
      <c r="F21" s="16" t="s">
        <v>44</v>
      </c>
      <c r="G21" s="17">
        <v>1.19</v>
      </c>
      <c r="H21" s="28">
        <v>4.2</v>
      </c>
      <c r="I21" s="34">
        <v>1</v>
      </c>
      <c r="J21" s="9">
        <v>1</v>
      </c>
      <c r="K21" s="9">
        <v>1</v>
      </c>
      <c r="L21">
        <v>3</v>
      </c>
      <c r="M21" s="9" t="str">
        <f>TEXT(J21,"0")&amp;"."&amp;TEXT(K21,"0")&amp;"."&amp;TEXT(L21,"0")</f>
        <v>1.1.3</v>
      </c>
      <c r="N21" s="12" t="s">
        <v>45</v>
      </c>
    </row>
    <row r="22" spans="2:14" ht="15.75" customHeight="1" x14ac:dyDescent="0.25">
      <c r="B22" s="48"/>
      <c r="C22" s="48"/>
      <c r="D22" s="50" t="s">
        <v>46</v>
      </c>
      <c r="E22" s="50" t="str">
        <f>TEXT(J22,"0")&amp;"."&amp;TEXT(K22,"0")&amp;"."&amp;TEXT(L22,"0")</f>
        <v>1.1.4</v>
      </c>
      <c r="F22" s="18" t="s">
        <v>47</v>
      </c>
      <c r="G22" s="19">
        <v>1.01</v>
      </c>
      <c r="H22" s="30">
        <v>2.4</v>
      </c>
      <c r="I22" s="32">
        <v>1</v>
      </c>
      <c r="J22" s="9">
        <v>1</v>
      </c>
      <c r="K22" s="9">
        <v>1</v>
      </c>
      <c r="L22">
        <v>4</v>
      </c>
      <c r="M22" s="9" t="str">
        <f t="shared" ref="M22:M29" si="2">TEXT(J22,"0")&amp;"."&amp;TEXT(K22,"0")&amp;"."&amp;TEXT(L22,"0")</f>
        <v>1.1.4</v>
      </c>
      <c r="N22" s="12" t="s">
        <v>48</v>
      </c>
    </row>
    <row r="23" spans="2:14" x14ac:dyDescent="0.25">
      <c r="B23" s="48"/>
      <c r="C23" s="48"/>
      <c r="D23" s="51"/>
      <c r="E23" s="51"/>
      <c r="F23" s="11" t="s">
        <v>49</v>
      </c>
      <c r="G23" s="14">
        <v>1.01</v>
      </c>
      <c r="H23" s="27">
        <v>2.4</v>
      </c>
      <c r="I23" s="33">
        <v>1</v>
      </c>
      <c r="J23" s="9">
        <v>1</v>
      </c>
      <c r="K23" s="9">
        <v>1</v>
      </c>
      <c r="L23">
        <v>4</v>
      </c>
      <c r="M23" s="9" t="str">
        <f t="shared" si="2"/>
        <v>1.1.4</v>
      </c>
      <c r="N23" s="12"/>
    </row>
    <row r="24" spans="2:14" x14ac:dyDescent="0.25">
      <c r="B24" s="48"/>
      <c r="C24" s="48"/>
      <c r="D24" s="51"/>
      <c r="E24" s="51"/>
      <c r="F24" s="11" t="s">
        <v>50</v>
      </c>
      <c r="G24" s="14">
        <v>1.02</v>
      </c>
      <c r="H24" s="27">
        <v>2.4</v>
      </c>
      <c r="I24" s="33">
        <v>1</v>
      </c>
      <c r="J24" s="9">
        <v>1</v>
      </c>
      <c r="K24" s="9">
        <v>1</v>
      </c>
      <c r="L24">
        <v>4</v>
      </c>
      <c r="M24" s="9" t="str">
        <f t="shared" si="2"/>
        <v>1.1.4</v>
      </c>
      <c r="N24" s="12" t="s">
        <v>20</v>
      </c>
    </row>
    <row r="25" spans="2:14" x14ac:dyDescent="0.25">
      <c r="B25" s="48"/>
      <c r="C25" s="48"/>
      <c r="D25" s="51"/>
      <c r="E25" s="51"/>
      <c r="F25" s="11" t="s">
        <v>51</v>
      </c>
      <c r="G25" s="14">
        <v>1.02</v>
      </c>
      <c r="H25" s="27">
        <v>2.4</v>
      </c>
      <c r="I25" s="33">
        <v>1</v>
      </c>
      <c r="J25" s="9">
        <v>1</v>
      </c>
      <c r="K25" s="9">
        <v>1</v>
      </c>
      <c r="L25">
        <v>4</v>
      </c>
      <c r="M25" s="9" t="str">
        <f t="shared" si="2"/>
        <v>1.1.4</v>
      </c>
      <c r="N25" s="12" t="s">
        <v>13</v>
      </c>
    </row>
    <row r="26" spans="2:14" ht="30" x14ac:dyDescent="0.25">
      <c r="B26" s="48"/>
      <c r="C26" s="48"/>
      <c r="D26" s="51"/>
      <c r="E26" s="51"/>
      <c r="F26" s="11" t="s">
        <v>52</v>
      </c>
      <c r="G26" s="14">
        <v>1.03</v>
      </c>
      <c r="H26" s="27">
        <v>2.6</v>
      </c>
      <c r="I26" s="33">
        <v>1</v>
      </c>
      <c r="J26" s="9">
        <v>1</v>
      </c>
      <c r="K26" s="9">
        <v>1</v>
      </c>
      <c r="L26">
        <v>4</v>
      </c>
      <c r="M26" s="9" t="str">
        <f t="shared" si="2"/>
        <v>1.1.4</v>
      </c>
      <c r="N26" s="12" t="s">
        <v>48</v>
      </c>
    </row>
    <row r="27" spans="2:14" ht="30" x14ac:dyDescent="0.25">
      <c r="B27" s="48"/>
      <c r="C27" s="48"/>
      <c r="D27" s="51"/>
      <c r="E27" s="51"/>
      <c r="F27" s="11" t="s">
        <v>53</v>
      </c>
      <c r="G27" s="14">
        <v>1.03</v>
      </c>
      <c r="H27" s="27">
        <v>2.6</v>
      </c>
      <c r="I27" s="33">
        <v>1</v>
      </c>
      <c r="J27" s="9">
        <v>1</v>
      </c>
      <c r="K27" s="9">
        <v>1</v>
      </c>
      <c r="L27">
        <v>4</v>
      </c>
      <c r="M27" s="9" t="str">
        <f t="shared" si="2"/>
        <v>1.1.4</v>
      </c>
      <c r="N27" s="12" t="s">
        <v>25</v>
      </c>
    </row>
    <row r="28" spans="2:14" x14ac:dyDescent="0.25">
      <c r="B28" s="48"/>
      <c r="C28" s="48"/>
      <c r="D28" s="51"/>
      <c r="E28" s="51"/>
      <c r="F28" s="11" t="s">
        <v>54</v>
      </c>
      <c r="G28" s="14">
        <v>1.03</v>
      </c>
      <c r="H28" s="27">
        <v>2.6</v>
      </c>
      <c r="I28" s="33">
        <v>1</v>
      </c>
      <c r="J28" s="9">
        <v>1</v>
      </c>
      <c r="K28" s="9">
        <v>1</v>
      </c>
      <c r="L28">
        <v>4</v>
      </c>
      <c r="M28" s="9" t="str">
        <f t="shared" si="2"/>
        <v>1.1.4</v>
      </c>
      <c r="N28" s="12" t="s">
        <v>55</v>
      </c>
    </row>
    <row r="29" spans="2:14" ht="30.75" thickBot="1" x14ac:dyDescent="0.3">
      <c r="B29" s="48"/>
      <c r="C29" s="48"/>
      <c r="D29" s="52"/>
      <c r="E29" s="52"/>
      <c r="F29" s="18" t="s">
        <v>56</v>
      </c>
      <c r="G29" s="19">
        <v>1.03</v>
      </c>
      <c r="H29" s="30">
        <v>2.6</v>
      </c>
      <c r="I29" s="34">
        <v>1</v>
      </c>
      <c r="J29" s="9">
        <v>1</v>
      </c>
      <c r="K29" s="9">
        <v>1</v>
      </c>
      <c r="L29">
        <v>4</v>
      </c>
      <c r="M29" s="9" t="str">
        <f t="shared" si="2"/>
        <v>1.1.4</v>
      </c>
      <c r="N29" s="12" t="s">
        <v>57</v>
      </c>
    </row>
    <row r="30" spans="2:14" ht="30" x14ac:dyDescent="0.25">
      <c r="B30" s="48"/>
      <c r="C30" s="48"/>
      <c r="D30" s="50" t="s">
        <v>58</v>
      </c>
      <c r="E30" s="50" t="str">
        <f>TEXT(J30,"0")&amp;"."&amp;TEXT(K30,"0")&amp;"."&amp;TEXT(L30,"0")</f>
        <v>1.1.5</v>
      </c>
      <c r="F30" s="8" t="s">
        <v>59</v>
      </c>
      <c r="G30" s="13">
        <v>1.04</v>
      </c>
      <c r="H30" s="26">
        <v>3.1</v>
      </c>
      <c r="I30" s="32">
        <v>1</v>
      </c>
      <c r="J30" s="9">
        <v>1</v>
      </c>
      <c r="K30" s="9">
        <v>1</v>
      </c>
      <c r="L30">
        <v>5</v>
      </c>
      <c r="M30" s="9" t="str">
        <f>TEXT(J30,"0")&amp;"."&amp;TEXT(K30,"0")&amp;"."&amp;TEXT(L30,"0")</f>
        <v>1.1.5</v>
      </c>
      <c r="N30" s="12" t="s">
        <v>60</v>
      </c>
    </row>
    <row r="31" spans="2:14" x14ac:dyDescent="0.25">
      <c r="B31" s="48"/>
      <c r="C31" s="48"/>
      <c r="D31" s="51"/>
      <c r="E31" s="51"/>
      <c r="F31" s="11" t="s">
        <v>61</v>
      </c>
      <c r="G31" s="20">
        <v>1.04</v>
      </c>
      <c r="H31" s="31">
        <v>3.1</v>
      </c>
      <c r="I31" s="33">
        <v>1</v>
      </c>
      <c r="J31" s="9">
        <v>1</v>
      </c>
      <c r="K31" s="9">
        <v>1</v>
      </c>
      <c r="L31">
        <v>5</v>
      </c>
      <c r="M31" s="9" t="str">
        <f>TEXT(J31,"0")&amp;"."&amp;TEXT(K31,"0")&amp;"."&amp;TEXT(L31,"0")</f>
        <v>1.1.5</v>
      </c>
      <c r="N31" s="12" t="s">
        <v>62</v>
      </c>
    </row>
    <row r="32" spans="2:14" x14ac:dyDescent="0.25">
      <c r="B32" s="48"/>
      <c r="C32" s="48"/>
      <c r="D32" s="51"/>
      <c r="E32" s="51"/>
      <c r="F32" s="21" t="s">
        <v>63</v>
      </c>
      <c r="G32" s="20">
        <v>1.04</v>
      </c>
      <c r="H32" s="31">
        <v>3.1</v>
      </c>
      <c r="I32" s="33">
        <v>1</v>
      </c>
      <c r="J32" s="9">
        <v>1</v>
      </c>
      <c r="K32" s="9">
        <v>1</v>
      </c>
      <c r="L32">
        <v>5</v>
      </c>
      <c r="M32" s="9" t="str">
        <f t="shared" ref="M32:M71" si="3">TEXT(J32,"0")&amp;"."&amp;TEXT(K32,"0")&amp;"."&amp;TEXT(L32,"0")</f>
        <v>1.1.5</v>
      </c>
      <c r="N32" s="12" t="s">
        <v>62</v>
      </c>
    </row>
    <row r="33" spans="2:14" ht="30" x14ac:dyDescent="0.25">
      <c r="B33" s="48"/>
      <c r="C33" s="48"/>
      <c r="D33" s="51"/>
      <c r="E33" s="51"/>
      <c r="F33" s="21" t="s">
        <v>64</v>
      </c>
      <c r="G33" s="20">
        <v>1.04</v>
      </c>
      <c r="H33" s="31">
        <v>3.1</v>
      </c>
      <c r="I33" s="33">
        <v>1</v>
      </c>
      <c r="J33" s="9">
        <v>1</v>
      </c>
      <c r="K33" s="9">
        <v>1</v>
      </c>
      <c r="L33">
        <v>5</v>
      </c>
      <c r="M33" s="9" t="str">
        <f t="shared" si="3"/>
        <v>1.1.5</v>
      </c>
      <c r="N33" s="12" t="s">
        <v>65</v>
      </c>
    </row>
    <row r="34" spans="2:14" ht="33.75" customHeight="1" x14ac:dyDescent="0.25">
      <c r="B34" s="48"/>
      <c r="C34" s="48"/>
      <c r="D34" s="51"/>
      <c r="E34" s="51"/>
      <c r="F34" s="21" t="s">
        <v>66</v>
      </c>
      <c r="G34" s="20">
        <v>1.04</v>
      </c>
      <c r="H34" s="31">
        <v>3.1</v>
      </c>
      <c r="I34" s="33">
        <v>1</v>
      </c>
      <c r="J34" s="9">
        <v>1</v>
      </c>
      <c r="K34" s="9">
        <v>1</v>
      </c>
      <c r="L34">
        <v>5</v>
      </c>
      <c r="M34" s="9" t="str">
        <f t="shared" si="3"/>
        <v>1.1.5</v>
      </c>
      <c r="N34" s="12" t="s">
        <v>67</v>
      </c>
    </row>
    <row r="35" spans="2:14" x14ac:dyDescent="0.25">
      <c r="B35" s="48"/>
      <c r="C35" s="48"/>
      <c r="D35" s="51"/>
      <c r="E35" s="51"/>
      <c r="F35" s="21" t="s">
        <v>68</v>
      </c>
      <c r="G35" s="20">
        <v>1.04</v>
      </c>
      <c r="H35" s="31">
        <v>3.1</v>
      </c>
      <c r="I35" s="33">
        <v>1</v>
      </c>
      <c r="J35" s="9">
        <v>1</v>
      </c>
      <c r="K35" s="9">
        <v>1</v>
      </c>
      <c r="L35">
        <v>5</v>
      </c>
      <c r="M35" s="9" t="str">
        <f t="shared" si="3"/>
        <v>1.1.5</v>
      </c>
      <c r="N35" s="12"/>
    </row>
    <row r="36" spans="2:14" x14ac:dyDescent="0.25">
      <c r="B36" s="48"/>
      <c r="C36" s="48"/>
      <c r="D36" s="51"/>
      <c r="E36" s="51"/>
      <c r="F36" s="11" t="s">
        <v>69</v>
      </c>
      <c r="G36" s="14" t="s">
        <v>70</v>
      </c>
      <c r="H36" s="27">
        <v>3.1</v>
      </c>
      <c r="I36" s="33">
        <v>1</v>
      </c>
      <c r="J36" s="9">
        <v>1</v>
      </c>
      <c r="K36" s="9">
        <v>1</v>
      </c>
      <c r="L36">
        <v>5</v>
      </c>
      <c r="M36" s="9" t="str">
        <f t="shared" si="3"/>
        <v>1.1.5</v>
      </c>
      <c r="N36" s="12" t="s">
        <v>67</v>
      </c>
    </row>
    <row r="37" spans="2:14" x14ac:dyDescent="0.25">
      <c r="B37" s="48"/>
      <c r="C37" s="48"/>
      <c r="D37" s="51"/>
      <c r="E37" s="51"/>
      <c r="F37" s="11" t="s">
        <v>71</v>
      </c>
      <c r="G37" s="14">
        <v>1.06</v>
      </c>
      <c r="H37" s="27">
        <v>3.1</v>
      </c>
      <c r="I37" s="33">
        <v>1</v>
      </c>
      <c r="J37" s="9">
        <v>1</v>
      </c>
      <c r="K37" s="9">
        <v>1</v>
      </c>
      <c r="L37">
        <v>5</v>
      </c>
      <c r="M37" s="9" t="str">
        <f t="shared" si="3"/>
        <v>1.1.5</v>
      </c>
      <c r="N37" s="12"/>
    </row>
    <row r="38" spans="2:14" ht="30" x14ac:dyDescent="0.25">
      <c r="B38" s="48"/>
      <c r="C38" s="48"/>
      <c r="D38" s="51"/>
      <c r="E38" s="51"/>
      <c r="F38" s="11" t="s">
        <v>72</v>
      </c>
      <c r="G38" s="14" t="s">
        <v>73</v>
      </c>
      <c r="H38" s="27">
        <v>3.2</v>
      </c>
      <c r="I38" s="33">
        <v>1</v>
      </c>
      <c r="J38" s="9">
        <v>1</v>
      </c>
      <c r="K38" s="9">
        <v>1</v>
      </c>
      <c r="L38">
        <v>5</v>
      </c>
      <c r="M38" s="9" t="str">
        <f t="shared" si="3"/>
        <v>1.1.5</v>
      </c>
      <c r="N38" s="12" t="s">
        <v>74</v>
      </c>
    </row>
    <row r="39" spans="2:14" ht="16.5" thickBot="1" x14ac:dyDescent="0.3">
      <c r="B39" s="48"/>
      <c r="C39" s="49"/>
      <c r="D39" s="52"/>
      <c r="E39" s="52"/>
      <c r="F39" s="16" t="s">
        <v>75</v>
      </c>
      <c r="G39" s="17">
        <v>1.04</v>
      </c>
      <c r="H39" s="28">
        <v>3.2</v>
      </c>
      <c r="I39" s="34">
        <v>1</v>
      </c>
      <c r="J39" s="9">
        <v>1</v>
      </c>
      <c r="K39" s="9">
        <v>1</v>
      </c>
      <c r="L39">
        <v>5</v>
      </c>
      <c r="M39" s="9" t="str">
        <f t="shared" si="3"/>
        <v>1.1.5</v>
      </c>
      <c r="N39" s="12" t="s">
        <v>76</v>
      </c>
    </row>
    <row r="40" spans="2:14" ht="16.149999999999999" customHeight="1" x14ac:dyDescent="0.25">
      <c r="B40" s="48"/>
      <c r="C40" s="47" t="s">
        <v>77</v>
      </c>
      <c r="D40" s="50" t="s">
        <v>78</v>
      </c>
      <c r="E40" s="50" t="str">
        <f>TEXT(J40,"0")&amp;"."&amp;TEXT(K40,"0")&amp;"."&amp;TEXT(L40,"0")</f>
        <v>1.2.1</v>
      </c>
      <c r="F40" s="8" t="s">
        <v>79</v>
      </c>
      <c r="G40" s="13">
        <v>1.05</v>
      </c>
      <c r="H40" s="26">
        <v>5.0999999999999996</v>
      </c>
      <c r="I40" s="32">
        <v>1</v>
      </c>
      <c r="J40" s="9">
        <v>1</v>
      </c>
      <c r="K40" s="9">
        <v>2</v>
      </c>
      <c r="L40">
        <v>1</v>
      </c>
      <c r="M40" s="9" t="str">
        <f t="shared" si="3"/>
        <v>1.2.1</v>
      </c>
      <c r="N40" s="12" t="s">
        <v>80</v>
      </c>
    </row>
    <row r="41" spans="2:14" ht="30" x14ac:dyDescent="0.25">
      <c r="B41" s="48"/>
      <c r="C41" s="48"/>
      <c r="D41" s="51"/>
      <c r="E41" s="51"/>
      <c r="F41" s="11" t="s">
        <v>81</v>
      </c>
      <c r="G41" s="14">
        <v>1.05</v>
      </c>
      <c r="H41" s="27">
        <v>5.0999999999999996</v>
      </c>
      <c r="I41" s="33">
        <v>1</v>
      </c>
      <c r="J41" s="9">
        <v>1</v>
      </c>
      <c r="K41" s="9">
        <v>2</v>
      </c>
      <c r="L41">
        <v>1</v>
      </c>
      <c r="M41" s="9" t="str">
        <f t="shared" si="3"/>
        <v>1.2.1</v>
      </c>
      <c r="N41" s="12" t="s">
        <v>80</v>
      </c>
    </row>
    <row r="42" spans="2:14" x14ac:dyDescent="0.25">
      <c r="B42" s="48"/>
      <c r="C42" s="48"/>
      <c r="D42" s="51"/>
      <c r="E42" s="51"/>
      <c r="F42" s="11" t="s">
        <v>82</v>
      </c>
      <c r="G42" s="14">
        <v>1.05</v>
      </c>
      <c r="H42" s="27">
        <v>5.2</v>
      </c>
      <c r="I42" s="33">
        <v>1</v>
      </c>
      <c r="J42" s="9">
        <v>1</v>
      </c>
      <c r="K42" s="9">
        <v>2</v>
      </c>
      <c r="L42">
        <v>1</v>
      </c>
      <c r="M42" s="9" t="str">
        <f t="shared" si="3"/>
        <v>1.2.1</v>
      </c>
      <c r="N42" s="12" t="s">
        <v>83</v>
      </c>
    </row>
    <row r="43" spans="2:14" ht="16.5" thickBot="1" x14ac:dyDescent="0.3">
      <c r="B43" s="48"/>
      <c r="C43" s="48"/>
      <c r="D43" s="52"/>
      <c r="E43" s="52"/>
      <c r="F43" s="16" t="s">
        <v>84</v>
      </c>
      <c r="G43" s="17" t="s">
        <v>85</v>
      </c>
      <c r="H43" s="28">
        <v>5.2</v>
      </c>
      <c r="I43" s="34">
        <v>1</v>
      </c>
      <c r="J43" s="9">
        <v>1</v>
      </c>
      <c r="K43" s="9">
        <v>2</v>
      </c>
      <c r="L43">
        <v>1</v>
      </c>
      <c r="M43" s="9" t="str">
        <f t="shared" si="3"/>
        <v>1.2.1</v>
      </c>
      <c r="N43" s="12" t="s">
        <v>86</v>
      </c>
    </row>
    <row r="44" spans="2:14" ht="30" x14ac:dyDescent="0.25">
      <c r="B44" s="48"/>
      <c r="C44" s="48"/>
      <c r="D44" s="50" t="s">
        <v>87</v>
      </c>
      <c r="E44" s="50" t="str">
        <f>TEXT(J44,"0")&amp;"."&amp;TEXT(K44,"0")&amp;"."&amp;TEXT(L44,"0")</f>
        <v>1.2.2</v>
      </c>
      <c r="F44" s="8" t="s">
        <v>88</v>
      </c>
      <c r="G44" s="13">
        <v>1.1399999999999999</v>
      </c>
      <c r="H44" s="26" t="s">
        <v>89</v>
      </c>
      <c r="I44" s="32">
        <v>1</v>
      </c>
      <c r="J44" s="9">
        <v>1</v>
      </c>
      <c r="K44" s="9">
        <v>2</v>
      </c>
      <c r="L44">
        <v>2</v>
      </c>
      <c r="M44" s="9" t="str">
        <f t="shared" si="3"/>
        <v>1.2.2</v>
      </c>
      <c r="N44" s="12" t="s">
        <v>90</v>
      </c>
    </row>
    <row r="45" spans="2:14" x14ac:dyDescent="0.25">
      <c r="B45" s="48"/>
      <c r="C45" s="48"/>
      <c r="D45" s="51"/>
      <c r="E45" s="51"/>
      <c r="F45" s="21" t="s">
        <v>91</v>
      </c>
      <c r="G45" s="20">
        <v>1.1399999999999999</v>
      </c>
      <c r="H45" s="27" t="s">
        <v>89</v>
      </c>
      <c r="I45" s="33">
        <v>1</v>
      </c>
      <c r="J45" s="9">
        <v>1</v>
      </c>
      <c r="K45" s="9">
        <v>2</v>
      </c>
      <c r="L45">
        <v>2</v>
      </c>
      <c r="M45" s="9" t="str">
        <f t="shared" si="3"/>
        <v>1.2.2</v>
      </c>
      <c r="N45" s="12" t="s">
        <v>92</v>
      </c>
    </row>
    <row r="46" spans="2:14" ht="30" x14ac:dyDescent="0.25">
      <c r="B46" s="48"/>
      <c r="C46" s="48"/>
      <c r="D46" s="51"/>
      <c r="E46" s="51"/>
      <c r="F46" s="21" t="s">
        <v>93</v>
      </c>
      <c r="G46" s="20">
        <v>1.05</v>
      </c>
      <c r="H46" s="27">
        <v>6.1</v>
      </c>
      <c r="I46" s="33">
        <v>1</v>
      </c>
      <c r="J46" s="9">
        <v>1</v>
      </c>
      <c r="K46" s="9">
        <v>2</v>
      </c>
      <c r="L46">
        <v>2</v>
      </c>
      <c r="M46" s="9" t="str">
        <f t="shared" si="3"/>
        <v>1.2.2</v>
      </c>
      <c r="N46" s="12" t="s">
        <v>90</v>
      </c>
    </row>
    <row r="47" spans="2:14" x14ac:dyDescent="0.25">
      <c r="B47" s="48"/>
      <c r="C47" s="48"/>
      <c r="D47" s="51"/>
      <c r="E47" s="51"/>
      <c r="F47" s="21" t="s">
        <v>94</v>
      </c>
      <c r="G47" s="20">
        <v>1.04</v>
      </c>
      <c r="H47" s="27" t="s">
        <v>89</v>
      </c>
      <c r="I47" s="33">
        <v>1</v>
      </c>
      <c r="J47" s="9">
        <v>1</v>
      </c>
      <c r="K47" s="9">
        <v>2</v>
      </c>
      <c r="L47">
        <v>2</v>
      </c>
      <c r="M47" s="9" t="str">
        <f t="shared" si="3"/>
        <v>1.2.2</v>
      </c>
      <c r="N47" s="12" t="s">
        <v>92</v>
      </c>
    </row>
    <row r="48" spans="2:14" ht="30" x14ac:dyDescent="0.25">
      <c r="B48" s="48"/>
      <c r="C48" s="48"/>
      <c r="D48" s="51"/>
      <c r="E48" s="51"/>
      <c r="F48" s="21" t="s">
        <v>95</v>
      </c>
      <c r="G48" s="20">
        <v>1.1299999999999999</v>
      </c>
      <c r="H48" s="27">
        <v>6.3</v>
      </c>
      <c r="I48" s="33">
        <v>1</v>
      </c>
      <c r="J48" s="9">
        <v>1</v>
      </c>
      <c r="K48" s="9">
        <v>2</v>
      </c>
      <c r="L48">
        <v>2</v>
      </c>
      <c r="M48" s="9" t="str">
        <f t="shared" si="3"/>
        <v>1.2.2</v>
      </c>
      <c r="N48" s="12" t="s">
        <v>92</v>
      </c>
    </row>
    <row r="49" spans="2:14" x14ac:dyDescent="0.25">
      <c r="B49" s="48"/>
      <c r="C49" s="48"/>
      <c r="D49" s="51"/>
      <c r="E49" s="51"/>
      <c r="F49" s="11" t="s">
        <v>96</v>
      </c>
      <c r="G49" s="20">
        <v>1.04</v>
      </c>
      <c r="H49" s="27">
        <v>6.5</v>
      </c>
      <c r="I49" s="33">
        <v>1</v>
      </c>
      <c r="J49" s="9">
        <v>1</v>
      </c>
      <c r="K49" s="9">
        <v>2</v>
      </c>
      <c r="L49">
        <v>2</v>
      </c>
      <c r="M49" s="9" t="str">
        <f t="shared" si="3"/>
        <v>1.2.2</v>
      </c>
      <c r="N49" s="10" t="s">
        <v>90</v>
      </c>
    </row>
    <row r="50" spans="2:14" ht="30" x14ac:dyDescent="0.25">
      <c r="B50" s="48"/>
      <c r="C50" s="48"/>
      <c r="D50" s="51"/>
      <c r="E50" s="51"/>
      <c r="F50" s="11" t="s">
        <v>97</v>
      </c>
      <c r="G50" s="14" t="s">
        <v>85</v>
      </c>
      <c r="H50" s="27">
        <v>6.3</v>
      </c>
      <c r="I50" s="33">
        <v>1</v>
      </c>
      <c r="J50" s="9">
        <v>1</v>
      </c>
      <c r="K50" s="9">
        <v>2</v>
      </c>
      <c r="L50">
        <v>2</v>
      </c>
      <c r="M50" s="9" t="str">
        <f t="shared" si="3"/>
        <v>1.2.2</v>
      </c>
      <c r="N50" s="12" t="s">
        <v>98</v>
      </c>
    </row>
    <row r="51" spans="2:14" ht="31.9" customHeight="1" thickBot="1" x14ac:dyDescent="0.3">
      <c r="B51" s="48"/>
      <c r="C51" s="49"/>
      <c r="D51" s="52"/>
      <c r="E51" s="52"/>
      <c r="F51" s="16" t="s">
        <v>99</v>
      </c>
      <c r="G51" s="17">
        <v>1.1499999999999999</v>
      </c>
      <c r="H51" s="28">
        <v>6.7</v>
      </c>
      <c r="I51" s="34">
        <v>1</v>
      </c>
      <c r="J51" s="9">
        <v>1</v>
      </c>
      <c r="K51" s="9">
        <v>2</v>
      </c>
      <c r="L51">
        <v>2</v>
      </c>
      <c r="M51" s="9" t="str">
        <f t="shared" si="3"/>
        <v>1.2.2</v>
      </c>
      <c r="N51" s="10" t="s">
        <v>100</v>
      </c>
    </row>
    <row r="52" spans="2:14" ht="36.75" customHeight="1" x14ac:dyDescent="0.25">
      <c r="B52" s="48"/>
      <c r="C52" s="47" t="s">
        <v>101</v>
      </c>
      <c r="D52" s="50" t="s">
        <v>102</v>
      </c>
      <c r="E52" s="50" t="str">
        <f>TEXT(J52,"0")&amp;"."&amp;TEXT(K52,"0")&amp;"."&amp;TEXT(L52,"0")</f>
        <v>1.3.1</v>
      </c>
      <c r="F52" s="8" t="s">
        <v>103</v>
      </c>
      <c r="G52" s="13">
        <v>1.0900000000000001</v>
      </c>
      <c r="H52" s="26">
        <v>8.1</v>
      </c>
      <c r="I52" s="32">
        <v>1</v>
      </c>
      <c r="J52" s="9">
        <v>1</v>
      </c>
      <c r="K52" s="9">
        <v>3</v>
      </c>
      <c r="L52">
        <v>1</v>
      </c>
      <c r="M52" s="9" t="str">
        <f t="shared" si="3"/>
        <v>1.3.1</v>
      </c>
      <c r="N52" s="12" t="s">
        <v>104</v>
      </c>
    </row>
    <row r="53" spans="2:14" ht="30.75" thickBot="1" x14ac:dyDescent="0.3">
      <c r="B53" s="48"/>
      <c r="C53" s="48"/>
      <c r="D53" s="52"/>
      <c r="E53" s="52"/>
      <c r="F53" s="16" t="s">
        <v>105</v>
      </c>
      <c r="G53" s="17">
        <v>1.0900000000000001</v>
      </c>
      <c r="H53" s="28">
        <v>8.1</v>
      </c>
      <c r="I53" s="34">
        <v>1</v>
      </c>
      <c r="J53" s="9">
        <v>1</v>
      </c>
      <c r="K53" s="9">
        <v>3</v>
      </c>
      <c r="L53">
        <v>1</v>
      </c>
      <c r="M53" s="9" t="str">
        <f t="shared" si="3"/>
        <v>1.3.1</v>
      </c>
      <c r="N53" s="12" t="s">
        <v>106</v>
      </c>
    </row>
    <row r="54" spans="2:14" ht="15.75" customHeight="1" x14ac:dyDescent="0.25">
      <c r="B54" s="48"/>
      <c r="C54" s="48"/>
      <c r="D54" s="50" t="s">
        <v>107</v>
      </c>
      <c r="E54" s="50" t="str">
        <f>TEXT(J56,"0")&amp;"."&amp;TEXT(K56,"0")&amp;"."&amp;TEXT(L56,"0")</f>
        <v>1.3.2</v>
      </c>
      <c r="F54" s="8" t="s">
        <v>108</v>
      </c>
      <c r="G54" s="13">
        <v>1.1000000000000001</v>
      </c>
      <c r="H54" s="26">
        <v>8.1999999999999993</v>
      </c>
      <c r="I54" s="32">
        <v>1</v>
      </c>
      <c r="J54" s="9">
        <v>1</v>
      </c>
      <c r="K54" s="9">
        <v>3</v>
      </c>
      <c r="L54">
        <v>2</v>
      </c>
      <c r="M54" s="9" t="str">
        <f t="shared" si="3"/>
        <v>1.3.2</v>
      </c>
      <c r="N54" s="12" t="s">
        <v>109</v>
      </c>
    </row>
    <row r="55" spans="2:14" ht="30" x14ac:dyDescent="0.25">
      <c r="B55" s="48"/>
      <c r="C55" s="48"/>
      <c r="D55" s="51"/>
      <c r="E55" s="51"/>
      <c r="F55" s="11" t="s">
        <v>110</v>
      </c>
      <c r="G55" s="14">
        <v>1.1000000000000001</v>
      </c>
      <c r="H55" s="27">
        <v>8.1999999999999993</v>
      </c>
      <c r="I55" s="33">
        <v>1</v>
      </c>
      <c r="J55" s="9">
        <v>1</v>
      </c>
      <c r="K55" s="9">
        <v>3</v>
      </c>
      <c r="L55">
        <v>2</v>
      </c>
      <c r="M55" s="9" t="str">
        <f t="shared" si="3"/>
        <v>1.3.2</v>
      </c>
      <c r="N55" s="12" t="s">
        <v>111</v>
      </c>
    </row>
    <row r="56" spans="2:14" x14ac:dyDescent="0.25">
      <c r="B56" s="48"/>
      <c r="C56" s="48"/>
      <c r="D56" s="51"/>
      <c r="E56" s="51"/>
      <c r="F56" s="11" t="s">
        <v>112</v>
      </c>
      <c r="G56" s="14">
        <v>1.1000000000000001</v>
      </c>
      <c r="H56" s="27">
        <v>8.1999999999999993</v>
      </c>
      <c r="I56" s="33">
        <v>1</v>
      </c>
      <c r="J56" s="9">
        <v>1</v>
      </c>
      <c r="K56" s="9">
        <v>3</v>
      </c>
      <c r="L56">
        <v>2</v>
      </c>
      <c r="M56" s="9" t="str">
        <f t="shared" si="3"/>
        <v>1.3.2</v>
      </c>
      <c r="N56" s="12" t="s">
        <v>113</v>
      </c>
    </row>
    <row r="57" spans="2:14" x14ac:dyDescent="0.25">
      <c r="B57" s="48"/>
      <c r="C57" s="48"/>
      <c r="D57" s="51"/>
      <c r="E57" s="51"/>
      <c r="F57" s="11" t="s">
        <v>114</v>
      </c>
      <c r="G57" s="14">
        <v>1.1000000000000001</v>
      </c>
      <c r="H57" s="27">
        <v>8.1999999999999993</v>
      </c>
      <c r="I57" s="33">
        <v>1</v>
      </c>
      <c r="J57" s="9">
        <v>1</v>
      </c>
      <c r="K57" s="9">
        <v>3</v>
      </c>
      <c r="L57">
        <v>2</v>
      </c>
      <c r="M57" s="9" t="str">
        <f t="shared" si="3"/>
        <v>1.3.2</v>
      </c>
      <c r="N57" s="12" t="s">
        <v>115</v>
      </c>
    </row>
    <row r="58" spans="2:14" ht="30" x14ac:dyDescent="0.25">
      <c r="B58" s="48"/>
      <c r="C58" s="48"/>
      <c r="D58" s="51"/>
      <c r="E58" s="51"/>
      <c r="F58" s="11" t="s">
        <v>116</v>
      </c>
      <c r="G58" s="14">
        <v>1.1000000000000001</v>
      </c>
      <c r="H58" s="27">
        <v>8.1999999999999993</v>
      </c>
      <c r="I58" s="33">
        <v>1</v>
      </c>
      <c r="J58" s="9">
        <v>1</v>
      </c>
      <c r="K58" s="9">
        <v>3</v>
      </c>
      <c r="L58">
        <v>2</v>
      </c>
      <c r="M58" s="9" t="str">
        <f t="shared" si="3"/>
        <v>1.3.2</v>
      </c>
      <c r="N58" s="12" t="s">
        <v>113</v>
      </c>
    </row>
    <row r="59" spans="2:14" x14ac:dyDescent="0.25">
      <c r="B59" s="48"/>
      <c r="C59" s="48"/>
      <c r="D59" s="51"/>
      <c r="E59" s="51"/>
      <c r="F59" s="11" t="s">
        <v>117</v>
      </c>
      <c r="G59" s="14">
        <v>1.1000000000000001</v>
      </c>
      <c r="H59" s="27">
        <v>8.1999999999999993</v>
      </c>
      <c r="I59" s="33">
        <v>1</v>
      </c>
      <c r="J59" s="9">
        <v>1</v>
      </c>
      <c r="K59" s="9">
        <v>3</v>
      </c>
      <c r="L59">
        <v>2</v>
      </c>
      <c r="M59" s="9" t="str">
        <f t="shared" si="3"/>
        <v>1.3.2</v>
      </c>
      <c r="N59" s="12" t="s">
        <v>113</v>
      </c>
    </row>
    <row r="60" spans="2:14" x14ac:dyDescent="0.25">
      <c r="B60" s="48"/>
      <c r="C60" s="48"/>
      <c r="D60" s="51"/>
      <c r="E60" s="51"/>
      <c r="F60" s="11" t="s">
        <v>118</v>
      </c>
      <c r="G60" s="14">
        <v>1.1000000000000001</v>
      </c>
      <c r="H60" s="27">
        <v>8.1999999999999993</v>
      </c>
      <c r="I60" s="33">
        <v>1</v>
      </c>
      <c r="J60" s="9">
        <v>1</v>
      </c>
      <c r="K60" s="9">
        <v>3</v>
      </c>
      <c r="L60">
        <v>2</v>
      </c>
      <c r="M60" s="9" t="str">
        <f t="shared" si="3"/>
        <v>1.3.2</v>
      </c>
      <c r="N60" s="12"/>
    </row>
    <row r="61" spans="2:14" ht="30" x14ac:dyDescent="0.25">
      <c r="B61" s="48"/>
      <c r="C61" s="48"/>
      <c r="D61" s="51"/>
      <c r="E61" s="51"/>
      <c r="F61" s="11" t="s">
        <v>119</v>
      </c>
      <c r="G61" s="14" t="s">
        <v>141</v>
      </c>
      <c r="H61" s="27">
        <v>8.4</v>
      </c>
      <c r="I61" s="33">
        <v>1</v>
      </c>
      <c r="J61" s="9">
        <v>1</v>
      </c>
      <c r="K61" s="9">
        <v>3</v>
      </c>
      <c r="L61">
        <v>2</v>
      </c>
      <c r="M61" s="9" t="str">
        <f t="shared" si="3"/>
        <v>1.3.2</v>
      </c>
      <c r="N61" s="12" t="s">
        <v>120</v>
      </c>
    </row>
    <row r="62" spans="2:14" ht="33" x14ac:dyDescent="0.35">
      <c r="B62" s="48"/>
      <c r="C62" s="48"/>
      <c r="D62" s="51"/>
      <c r="E62" s="51"/>
      <c r="F62" s="11" t="s">
        <v>121</v>
      </c>
      <c r="G62" s="14">
        <v>1.1000000000000001</v>
      </c>
      <c r="H62" s="27">
        <v>8.4</v>
      </c>
      <c r="I62" s="33">
        <v>1</v>
      </c>
      <c r="J62" s="9">
        <v>1</v>
      </c>
      <c r="K62" s="9">
        <v>3</v>
      </c>
      <c r="L62">
        <v>2</v>
      </c>
      <c r="M62" s="9" t="str">
        <f t="shared" si="3"/>
        <v>1.3.2</v>
      </c>
      <c r="N62" s="12" t="s">
        <v>120</v>
      </c>
    </row>
    <row r="63" spans="2:14" ht="30.75" thickBot="1" x14ac:dyDescent="0.3">
      <c r="B63" s="48"/>
      <c r="C63" s="48"/>
      <c r="D63" s="52"/>
      <c r="E63" s="52"/>
      <c r="F63" s="16" t="s">
        <v>122</v>
      </c>
      <c r="G63" s="17" t="s">
        <v>142</v>
      </c>
      <c r="H63" s="28">
        <v>8.4</v>
      </c>
      <c r="I63" s="34">
        <v>1</v>
      </c>
      <c r="J63" s="9">
        <v>1</v>
      </c>
      <c r="K63" s="9">
        <v>3</v>
      </c>
      <c r="L63">
        <v>2</v>
      </c>
      <c r="M63" s="9" t="str">
        <f t="shared" si="3"/>
        <v>1.3.2</v>
      </c>
      <c r="N63" s="22" t="s">
        <v>123</v>
      </c>
    </row>
    <row r="64" spans="2:14" ht="16.149999999999999" customHeight="1" x14ac:dyDescent="0.25">
      <c r="B64" s="48"/>
      <c r="C64" s="48"/>
      <c r="D64" s="50" t="s">
        <v>124</v>
      </c>
      <c r="E64" s="50" t="str">
        <f>TEXT(J64,"0")&amp;"."&amp;TEXT(K64,"0")&amp;"."&amp;TEXT(L64,"0")</f>
        <v>1.3.3</v>
      </c>
      <c r="F64" s="8" t="s">
        <v>125</v>
      </c>
      <c r="G64" s="13">
        <v>1.06</v>
      </c>
      <c r="H64" s="26">
        <v>7.1</v>
      </c>
      <c r="I64" s="32">
        <v>1</v>
      </c>
      <c r="J64" s="9">
        <v>1</v>
      </c>
      <c r="K64" s="9">
        <v>3</v>
      </c>
      <c r="L64">
        <v>3</v>
      </c>
      <c r="M64" s="9" t="str">
        <f t="shared" si="3"/>
        <v>1.3.3</v>
      </c>
      <c r="N64" s="22" t="s">
        <v>126</v>
      </c>
    </row>
    <row r="65" spans="2:14" x14ac:dyDescent="0.25">
      <c r="B65" s="48"/>
      <c r="C65" s="48"/>
      <c r="D65" s="51"/>
      <c r="E65" s="51"/>
      <c r="F65" s="11" t="s">
        <v>127</v>
      </c>
      <c r="G65" s="14">
        <v>1.06</v>
      </c>
      <c r="H65" s="27">
        <v>7.2</v>
      </c>
      <c r="I65" s="33">
        <v>1</v>
      </c>
      <c r="J65" s="9">
        <v>1</v>
      </c>
      <c r="K65" s="9">
        <v>3</v>
      </c>
      <c r="L65">
        <v>3</v>
      </c>
      <c r="M65" s="9" t="str">
        <f t="shared" si="3"/>
        <v>1.3.3</v>
      </c>
      <c r="N65" s="22" t="s">
        <v>128</v>
      </c>
    </row>
    <row r="66" spans="2:14" x14ac:dyDescent="0.25">
      <c r="B66" s="48"/>
      <c r="C66" s="48"/>
      <c r="D66" s="51"/>
      <c r="E66" s="51"/>
      <c r="F66" s="11" t="s">
        <v>129</v>
      </c>
      <c r="G66" s="14">
        <v>1.06</v>
      </c>
      <c r="H66" s="27">
        <v>7.2</v>
      </c>
      <c r="I66" s="33">
        <v>1</v>
      </c>
      <c r="J66" s="9">
        <v>1</v>
      </c>
      <c r="K66" s="9">
        <v>3</v>
      </c>
      <c r="L66">
        <v>3</v>
      </c>
      <c r="M66" s="9" t="str">
        <f t="shared" si="3"/>
        <v>1.3.3</v>
      </c>
      <c r="N66" s="12" t="s">
        <v>128</v>
      </c>
    </row>
    <row r="67" spans="2:14" ht="45" x14ac:dyDescent="0.25">
      <c r="B67" s="48"/>
      <c r="C67" s="48"/>
      <c r="D67" s="51"/>
      <c r="E67" s="51"/>
      <c r="F67" s="11" t="s">
        <v>130</v>
      </c>
      <c r="G67" s="14" t="s">
        <v>131</v>
      </c>
      <c r="H67" s="27">
        <v>7.2</v>
      </c>
      <c r="I67" s="33">
        <v>1</v>
      </c>
      <c r="J67" s="9">
        <v>1</v>
      </c>
      <c r="K67" s="9">
        <v>3</v>
      </c>
      <c r="L67">
        <v>3</v>
      </c>
      <c r="M67" s="9" t="str">
        <f t="shared" si="3"/>
        <v>1.3.3</v>
      </c>
      <c r="N67" s="10" t="s">
        <v>132</v>
      </c>
    </row>
    <row r="68" spans="2:14" ht="30" x14ac:dyDescent="0.25">
      <c r="B68" s="48"/>
      <c r="C68" s="48"/>
      <c r="D68" s="51"/>
      <c r="E68" s="51"/>
      <c r="F68" s="11" t="s">
        <v>133</v>
      </c>
      <c r="G68" s="14">
        <v>1.1599999999999999</v>
      </c>
      <c r="H68" s="27">
        <v>7.3</v>
      </c>
      <c r="I68" s="33">
        <v>1</v>
      </c>
      <c r="J68" s="9">
        <v>1</v>
      </c>
      <c r="K68" s="9">
        <v>3</v>
      </c>
      <c r="L68">
        <v>3</v>
      </c>
      <c r="M68" s="9" t="str">
        <f t="shared" si="3"/>
        <v>1.3.3</v>
      </c>
      <c r="N68" s="10" t="s">
        <v>134</v>
      </c>
    </row>
    <row r="69" spans="2:14" x14ac:dyDescent="0.25">
      <c r="B69" s="48"/>
      <c r="C69" s="48"/>
      <c r="D69" s="51"/>
      <c r="E69" s="51"/>
      <c r="F69" s="11" t="s">
        <v>135</v>
      </c>
      <c r="G69" s="14">
        <v>1.08</v>
      </c>
      <c r="H69" s="27">
        <v>7.5</v>
      </c>
      <c r="I69" s="33">
        <v>1</v>
      </c>
      <c r="J69" s="9">
        <v>1</v>
      </c>
      <c r="K69" s="9">
        <v>3</v>
      </c>
      <c r="L69">
        <v>3</v>
      </c>
      <c r="M69" s="9" t="str">
        <f t="shared" si="3"/>
        <v>1.3.3</v>
      </c>
      <c r="N69" s="12" t="s">
        <v>136</v>
      </c>
    </row>
    <row r="70" spans="2:14" x14ac:dyDescent="0.25">
      <c r="B70" s="48"/>
      <c r="C70" s="48"/>
      <c r="D70" s="51"/>
      <c r="E70" s="51"/>
      <c r="F70" s="11" t="s">
        <v>137</v>
      </c>
      <c r="G70" s="14">
        <v>1.17</v>
      </c>
      <c r="H70" s="27">
        <v>7.7</v>
      </c>
      <c r="I70" s="33">
        <v>1</v>
      </c>
      <c r="J70" s="9">
        <v>1</v>
      </c>
      <c r="K70" s="9">
        <v>3</v>
      </c>
      <c r="L70">
        <v>3</v>
      </c>
      <c r="M70" s="9" t="str">
        <f t="shared" si="3"/>
        <v>1.3.3</v>
      </c>
      <c r="N70" s="12" t="s">
        <v>138</v>
      </c>
    </row>
    <row r="71" spans="2:14" ht="30.75" thickBot="1" x14ac:dyDescent="0.3">
      <c r="B71" s="49"/>
      <c r="C71" s="49"/>
      <c r="D71" s="52"/>
      <c r="E71" s="52"/>
      <c r="F71" s="16" t="s">
        <v>139</v>
      </c>
      <c r="G71" s="17">
        <v>1.17</v>
      </c>
      <c r="H71" s="28">
        <v>7.7</v>
      </c>
      <c r="I71" s="34">
        <v>1</v>
      </c>
      <c r="J71" s="9">
        <v>1</v>
      </c>
      <c r="K71" s="9">
        <v>3</v>
      </c>
      <c r="L71">
        <v>3</v>
      </c>
      <c r="M71" s="9" t="str">
        <f t="shared" si="3"/>
        <v>1.3.3</v>
      </c>
      <c r="N71" s="12" t="s">
        <v>140</v>
      </c>
    </row>
    <row r="78" spans="2:14" x14ac:dyDescent="0.25">
      <c r="C78" t="s">
        <v>226</v>
      </c>
    </row>
  </sheetData>
  <mergeCells count="25">
    <mergeCell ref="E44:E51"/>
    <mergeCell ref="C52:C71"/>
    <mergeCell ref="D52:D53"/>
    <mergeCell ref="E52:E53"/>
    <mergeCell ref="D54:D63"/>
    <mergeCell ref="E54:E63"/>
    <mergeCell ref="D64:D71"/>
    <mergeCell ref="E64:E71"/>
    <mergeCell ref="D44:D51"/>
    <mergeCell ref="B2:I2"/>
    <mergeCell ref="B4:B71"/>
    <mergeCell ref="C4:C39"/>
    <mergeCell ref="D4:D11"/>
    <mergeCell ref="E4:E11"/>
    <mergeCell ref="D12:D15"/>
    <mergeCell ref="E12:E15"/>
    <mergeCell ref="D16:D21"/>
    <mergeCell ref="E16:E21"/>
    <mergeCell ref="D22:D29"/>
    <mergeCell ref="E22:E29"/>
    <mergeCell ref="D30:D39"/>
    <mergeCell ref="E30:E39"/>
    <mergeCell ref="C40:C51"/>
    <mergeCell ref="D40:D43"/>
    <mergeCell ref="E40:E43"/>
  </mergeCells>
  <conditionalFormatting sqref="B4">
    <cfRule type="expression" dxfId="242" priority="95">
      <formula>AND(SUM($I4:$I71)&gt;COUNT($I4:$I71),SUM($I4:$I71)&lt;COUNT($I4:$I71)*3)</formula>
    </cfRule>
    <cfRule type="expression" dxfId="241" priority="94">
      <formula>SUM($I4:$I71)=COUNT($I4:$I71)</formula>
    </cfRule>
    <cfRule type="expression" dxfId="240" priority="96">
      <formula>SUM($I4:$I71)=COUNT($I4:$I71)*3</formula>
    </cfRule>
  </conditionalFormatting>
  <conditionalFormatting sqref="B5:B6">
    <cfRule type="expression" dxfId="239" priority="204">
      <formula>SUM($I5:$I71)=COUNT($I5:$I71)*3</formula>
    </cfRule>
    <cfRule type="expression" dxfId="238" priority="203">
      <formula>AND(SUM($I5:$I71)&gt;COUNT($I5:$I71),SUM($I5:$I71)&lt;COUNT($I5:$I71)*3)</formula>
    </cfRule>
    <cfRule type="expression" dxfId="237" priority="202">
      <formula>SUM($I5:$I71)=COUNT($I5:$I71)</formula>
    </cfRule>
  </conditionalFormatting>
  <conditionalFormatting sqref="B7">
    <cfRule type="expression" dxfId="236" priority="43">
      <formula>SUM($I7:$I71)=COUNT($I7:$I71)</formula>
    </cfRule>
    <cfRule type="expression" dxfId="235" priority="44">
      <formula>AND(SUM($I7:$I71)&gt;COUNT($I7:$I71),SUM($I7:$I71)&lt;COUNT($I7:$I71)*3)</formula>
    </cfRule>
    <cfRule type="expression" dxfId="234" priority="45">
      <formula>SUM($I7:$I71)=COUNT($I7:$I71)*3</formula>
    </cfRule>
  </conditionalFormatting>
  <conditionalFormatting sqref="B8">
    <cfRule type="expression" dxfId="233" priority="210">
      <formula>SUM($I8:$I71)=COUNT($I8:$I71)*3</formula>
    </cfRule>
    <cfRule type="expression" dxfId="232" priority="209">
      <formula>AND(SUM($I8:$I71)&gt;COUNT($I8:$I71),SUM($I8:$I71)&lt;COUNT($I8:$I71)*3)</formula>
    </cfRule>
    <cfRule type="expression" dxfId="231" priority="208">
      <formula>SUM($I8:$I71)=COUNT($I8:$I71)</formula>
    </cfRule>
  </conditionalFormatting>
  <conditionalFormatting sqref="B9">
    <cfRule type="expression" dxfId="230" priority="216">
      <formula>SUM($I9:$I71)=COUNT($I9:$I71)*3</formula>
    </cfRule>
    <cfRule type="expression" dxfId="229" priority="214">
      <formula>SUM($I9:$I71)=COUNT($I9:$I71)</formula>
    </cfRule>
    <cfRule type="expression" dxfId="228" priority="215">
      <formula>AND(SUM($I9:$I71)&gt;COUNT($I9:$I71),SUM($I9:$I71)&lt;COUNT($I9:$I71)*3)</formula>
    </cfRule>
  </conditionalFormatting>
  <conditionalFormatting sqref="B10:B11">
    <cfRule type="expression" dxfId="227" priority="225">
      <formula>SUM($I12:$I71)=COUNT($I12:$I71)*3</formula>
    </cfRule>
    <cfRule type="expression" dxfId="226" priority="224">
      <formula>AND(SUM($I12:$I71)&gt;COUNT($I12:$I71),SUM($I12:$I71)&lt;COUNT($I12:$I71)*3)</formula>
    </cfRule>
    <cfRule type="expression" dxfId="225" priority="223">
      <formula>SUM($I12:$I71)=COUNT($I12:$I71)</formula>
    </cfRule>
  </conditionalFormatting>
  <conditionalFormatting sqref="B12">
    <cfRule type="expression" dxfId="224" priority="91">
      <formula>SUM($I12:$I71)=COUNT($I12:$I71)</formula>
    </cfRule>
    <cfRule type="expression" dxfId="223" priority="92">
      <formula>AND(SUM($I12:$I71)&gt;COUNT($I12:$I71),SUM($I12:$I71)&lt;COUNT($I12:$I71)*3)</formula>
    </cfRule>
    <cfRule type="expression" dxfId="222" priority="93">
      <formula>SUM($I12:$I71)=COUNT($I12:$I71)*3</formula>
    </cfRule>
  </conditionalFormatting>
  <conditionalFormatting sqref="B13:B14">
    <cfRule type="expression" dxfId="221" priority="227">
      <formula>AND(SUM($I4:$I71)&gt;COUNT($I4:$I71),SUM($I4:$I71)&lt;COUNT($I4:$I71)*3)</formula>
    </cfRule>
    <cfRule type="expression" dxfId="220" priority="226">
      <formula>SUM($I4:$I71)=COUNT($I4:$I71)</formula>
    </cfRule>
    <cfRule type="expression" dxfId="219" priority="228">
      <formula>SUM($I4:$I71)=COUNT($I4:$I71)*3</formula>
    </cfRule>
  </conditionalFormatting>
  <conditionalFormatting sqref="B15:B16">
    <cfRule type="expression" dxfId="218" priority="229">
      <formula>SUM($I5:$I71)=COUNT($I5:$I71)</formula>
    </cfRule>
    <cfRule type="expression" dxfId="217" priority="230">
      <formula>AND(SUM($I5:$I71)&gt;COUNT($I5:$I71),SUM($I5:$I71)&lt;COUNT($I5:$I71)*3)</formula>
    </cfRule>
    <cfRule type="expression" dxfId="216" priority="231">
      <formula>SUM($I5:$I71)=COUNT($I5:$I71)*3</formula>
    </cfRule>
  </conditionalFormatting>
  <conditionalFormatting sqref="B17:B18">
    <cfRule type="expression" dxfId="215" priority="232">
      <formula>SUM($I7:$I71)=COUNT($I7:$I71)</formula>
    </cfRule>
    <cfRule type="expression" dxfId="214" priority="233">
      <formula>AND(SUM($I7:$I71)&gt;COUNT($I7:$I71),SUM($I7:$I71)&lt;COUNT($I7:$I71)*3)</formula>
    </cfRule>
    <cfRule type="expression" dxfId="213" priority="234">
      <formula>SUM($I7:$I71)=COUNT($I7:$I71)*3</formula>
    </cfRule>
  </conditionalFormatting>
  <conditionalFormatting sqref="B19">
    <cfRule type="expression" dxfId="212" priority="237">
      <formula>SUM($I6:$I71)=COUNT($I6:$I71)*3</formula>
    </cfRule>
    <cfRule type="expression" dxfId="211" priority="235">
      <formula>SUM($I6:$I71)=COUNT($I6:$I71)</formula>
    </cfRule>
    <cfRule type="expression" dxfId="210" priority="236">
      <formula>AND(SUM($I6:$I71)&gt;COUNT($I6:$I71),SUM($I6:$I71)&lt;COUNT($I6:$I71)*3)</formula>
    </cfRule>
  </conditionalFormatting>
  <conditionalFormatting sqref="B20:B24">
    <cfRule type="expression" dxfId="209" priority="239">
      <formula>AND(SUM($I10:$I71)&gt;COUNT($I10:$I71),SUM($I10:$I71)&lt;COUNT($I10:$I71)*3)</formula>
    </cfRule>
    <cfRule type="expression" dxfId="208" priority="238">
      <formula>SUM($I10:$I71)=COUNT($I10:$I71)</formula>
    </cfRule>
    <cfRule type="expression" dxfId="207" priority="240">
      <formula>SUM($I10:$I71)=COUNT($I10:$I71)*3</formula>
    </cfRule>
  </conditionalFormatting>
  <conditionalFormatting sqref="B25:B27">
    <cfRule type="expression" dxfId="206" priority="241">
      <formula>SUM($I15:$I71)=COUNT($I15:$I71)</formula>
    </cfRule>
    <cfRule type="expression" dxfId="205" priority="243">
      <formula>SUM($I15:$I71)=COUNT($I15:$I71)*3</formula>
    </cfRule>
    <cfRule type="expression" dxfId="204" priority="242">
      <formula>AND(SUM($I15:$I71)&gt;COUNT($I15:$I71),SUM($I15:$I71)&lt;COUNT($I15:$I71)*3)</formula>
    </cfRule>
  </conditionalFormatting>
  <conditionalFormatting sqref="B28:B29">
    <cfRule type="expression" dxfId="203" priority="245">
      <formula>AND(SUM($I17:$I71)&gt;COUNT($I17:$I71),SUM($I17:$I71)&lt;COUNT($I17:$I71)*3)</formula>
    </cfRule>
    <cfRule type="expression" dxfId="202" priority="244">
      <formula>SUM($I17:$I71)=COUNT($I17:$I71)</formula>
    </cfRule>
    <cfRule type="expression" dxfId="201" priority="246">
      <formula>SUM($I17:$I71)=COUNT($I17:$I71)*3</formula>
    </cfRule>
  </conditionalFormatting>
  <conditionalFormatting sqref="B30:B31">
    <cfRule type="expression" dxfId="200" priority="221">
      <formula>AND(SUM($I30:$I71)&gt;COUNT($I30:$I71),SUM($I30:$I71)&lt;COUNT($I30:$I71)*3)</formula>
    </cfRule>
    <cfRule type="expression" dxfId="199" priority="220">
      <formula>SUM($I30:$I71)=COUNT($I30:$I71)</formula>
    </cfRule>
    <cfRule type="expression" dxfId="198" priority="222">
      <formula>SUM($I30:$I71)=COUNT($I30:$I71)*3</formula>
    </cfRule>
  </conditionalFormatting>
  <conditionalFormatting sqref="B32:B33">
    <cfRule type="expression" dxfId="197" priority="213">
      <formula>SUM($I32:$I71)=COUNT($I32:$I71)*3</formula>
    </cfRule>
    <cfRule type="expression" dxfId="196" priority="212">
      <formula>AND(SUM($I32:$I71)&gt;COUNT($I32:$I71),SUM($I32:$I71)&lt;COUNT($I32:$I71)*3)</formula>
    </cfRule>
    <cfRule type="expression" dxfId="195" priority="211">
      <formula>SUM($I32:$I71)=COUNT($I32:$I71)</formula>
    </cfRule>
  </conditionalFormatting>
  <conditionalFormatting sqref="B34:B35">
    <cfRule type="expression" dxfId="194" priority="247">
      <formula>SUM($I34:$I71)=COUNT($I34:$I71)</formula>
    </cfRule>
    <cfRule type="expression" dxfId="193" priority="248">
      <formula>AND(SUM($I34:$I71)&gt;COUNT($I34:$I71),SUM($I34:$I71)&lt;COUNT($I34:$I71)*3)</formula>
    </cfRule>
    <cfRule type="expression" dxfId="192" priority="249">
      <formula>SUM($I34:$I71)=COUNT($I34:$I71)*3</formula>
    </cfRule>
  </conditionalFormatting>
  <conditionalFormatting sqref="B36">
    <cfRule type="expression" dxfId="191" priority="250">
      <formula>SUM($I36:$I71)=COUNT($I36:$I71)</formula>
    </cfRule>
    <cfRule type="expression" dxfId="190" priority="252">
      <formula>SUM($I36:$I71)=COUNT($I36:$I71)*3</formula>
    </cfRule>
    <cfRule type="expression" dxfId="189" priority="251">
      <formula>AND(SUM($I36:$I71)&gt;COUNT($I36:$I71),SUM($I36:$I71)&lt;COUNT($I36:$I71)*3)</formula>
    </cfRule>
  </conditionalFormatting>
  <conditionalFormatting sqref="B37:B39">
    <cfRule type="expression" dxfId="188" priority="256">
      <formula>SUM($I37:$I71)=COUNT($I37:$I71)</formula>
    </cfRule>
    <cfRule type="expression" dxfId="187" priority="257">
      <formula>AND(SUM($I37:$I71)&gt;COUNT($I37:$I71),SUM($I37:$I71)&lt;COUNT($I37:$I71)*3)</formula>
    </cfRule>
    <cfRule type="expression" dxfId="186" priority="258">
      <formula>SUM($I37:$I71)=COUNT($I37:$I71)*3</formula>
    </cfRule>
  </conditionalFormatting>
  <conditionalFormatting sqref="B40:B41">
    <cfRule type="expression" dxfId="185" priority="253">
      <formula>SUM($I40:$I71)=COUNT($I40:$I71)</formula>
    </cfRule>
    <cfRule type="expression" dxfId="184" priority="254">
      <formula>AND(SUM($I40:$I71)&gt;COUNT($I40:$I71),SUM($I40:$I71)&lt;COUNT($I40:$I71)*3)</formula>
    </cfRule>
    <cfRule type="expression" dxfId="183" priority="255">
      <formula>SUM($I40:$I71)=COUNT($I40:$I71)*3</formula>
    </cfRule>
  </conditionalFormatting>
  <conditionalFormatting sqref="B42:B43">
    <cfRule type="expression" dxfId="182" priority="260">
      <formula>AND(SUM($I42:$I71)&gt;COUNT($I42:$I71),SUM($I42:$I71)&lt;COUNT($I42:$I71)*3)</formula>
    </cfRule>
    <cfRule type="expression" dxfId="181" priority="261">
      <formula>SUM($I42:$I71)=COUNT($I42:$I71)*3</formula>
    </cfRule>
    <cfRule type="expression" dxfId="180" priority="259">
      <formula>SUM($I42:$I71)=COUNT($I42:$I71)</formula>
    </cfRule>
  </conditionalFormatting>
  <conditionalFormatting sqref="B44:B46">
    <cfRule type="expression" dxfId="179" priority="266">
      <formula>AND(SUM($I44:$I71)&gt;COUNT($I44:$I71),SUM($I44:$I71)&lt;COUNT($I44:$I71)*3)</formula>
    </cfRule>
    <cfRule type="expression" dxfId="178" priority="267">
      <formula>SUM($I44:$I71)=COUNT($I44:$I71)*3</formula>
    </cfRule>
    <cfRule type="expression" dxfId="177" priority="265">
      <formula>SUM($I44:$I71)=COUNT($I44:$I71)</formula>
    </cfRule>
  </conditionalFormatting>
  <conditionalFormatting sqref="B47:B48">
    <cfRule type="expression" dxfId="176" priority="268">
      <formula>SUM($I47:$I71)=COUNT($I47:$I71)</formula>
    </cfRule>
    <cfRule type="expression" dxfId="175" priority="269">
      <formula>AND(SUM($I47:$I71)&gt;COUNT($I47:$I71),SUM($I47:$I71)&lt;COUNT($I47:$I71)*3)</formula>
    </cfRule>
    <cfRule type="expression" dxfId="174" priority="270">
      <formula>SUM($I47:$I71)=COUNT($I47:$I71)*3</formula>
    </cfRule>
  </conditionalFormatting>
  <conditionalFormatting sqref="B49:B51">
    <cfRule type="expression" dxfId="173" priority="271">
      <formula>SUM($I49:$I71)=COUNT($I49:$I71)</formula>
    </cfRule>
    <cfRule type="expression" dxfId="172" priority="273">
      <formula>SUM($I49:$I71)=COUNT($I49:$I71)*3</formula>
    </cfRule>
    <cfRule type="expression" dxfId="171" priority="272">
      <formula>AND(SUM($I49:$I71)&gt;COUNT($I49:$I71),SUM($I49:$I71)&lt;COUNT($I49:$I71)*3)</formula>
    </cfRule>
  </conditionalFormatting>
  <conditionalFormatting sqref="B52:B53">
    <cfRule type="expression" dxfId="170" priority="274">
      <formula>SUM($I52:$I72)=COUNT($I52:$I72)</formula>
    </cfRule>
    <cfRule type="expression" dxfId="169" priority="275">
      <formula>AND(SUM($I52:$I72)&gt;COUNT($I52:$I72),SUM($I52:$I72)&lt;COUNT($I52:$I72)*3)</formula>
    </cfRule>
    <cfRule type="expression" dxfId="168" priority="276">
      <formula>SUM($I52:$I72)=COUNT($I52:$I72)*3</formula>
    </cfRule>
  </conditionalFormatting>
  <conditionalFormatting sqref="B54">
    <cfRule type="expression" dxfId="167" priority="278">
      <formula>AND(SUM($I54:$I73)&gt;COUNT($I54:$I73),SUM($I54:$I73)&lt;COUNT($I54:$I73)*3)</formula>
    </cfRule>
    <cfRule type="expression" dxfId="166" priority="279">
      <formula>SUM($I54:$I73)=COUNT($I54:$I73)*3</formula>
    </cfRule>
    <cfRule type="expression" dxfId="165" priority="277">
      <formula>SUM($I54:$I73)=COUNT($I54:$I73)</formula>
    </cfRule>
  </conditionalFormatting>
  <conditionalFormatting sqref="B55:B59">
    <cfRule type="expression" dxfId="164" priority="282">
      <formula>SUM($I55:$I73)=COUNT($I55:$I73)*3</formula>
    </cfRule>
    <cfRule type="expression" dxfId="163" priority="281">
      <formula>AND(SUM($I55:$I73)&gt;COUNT($I55:$I73),SUM($I55:$I73)&lt;COUNT($I55:$I73)*3)</formula>
    </cfRule>
    <cfRule type="expression" dxfId="162" priority="280">
      <formula>SUM($I55:$I73)=COUNT($I55:$I73)</formula>
    </cfRule>
  </conditionalFormatting>
  <conditionalFormatting sqref="B60:B62">
    <cfRule type="expression" dxfId="161" priority="283">
      <formula>SUM($I60:$I73)=COUNT($I60:$I73)</formula>
    </cfRule>
    <cfRule type="expression" dxfId="160" priority="284">
      <formula>AND(SUM($I60:$I73)&gt;COUNT($I60:$I73),SUM($I60:$I73)&lt;COUNT($I60:$I73)*3)</formula>
    </cfRule>
    <cfRule type="expression" dxfId="159" priority="285">
      <formula>SUM($I60:$I73)=COUNT($I60:$I73)*3</formula>
    </cfRule>
  </conditionalFormatting>
  <conditionalFormatting sqref="B63">
    <cfRule type="expression" dxfId="158" priority="286">
      <formula>SUM($I63:$I74)=COUNT($I63:$I74)</formula>
    </cfRule>
    <cfRule type="expression" dxfId="157" priority="287">
      <formula>AND(SUM($I63:$I74)&gt;COUNT($I63:$I74),SUM($I63:$I74)&lt;COUNT($I63:$I74)*3)</formula>
    </cfRule>
    <cfRule type="expression" dxfId="156" priority="288">
      <formula>SUM($I63:$I74)=COUNT($I63:$I74)*3</formula>
    </cfRule>
  </conditionalFormatting>
  <conditionalFormatting sqref="B64:B68">
    <cfRule type="expression" dxfId="155" priority="264">
      <formula>SUM($I64:$I86)=COUNT($I64:$I86)*3</formula>
    </cfRule>
    <cfRule type="expression" dxfId="154" priority="263">
      <formula>AND(SUM($I64:$I86)&gt;COUNT($I64:$I86),SUM($I64:$I86)&lt;COUNT($I64:$I86)*3)</formula>
    </cfRule>
    <cfRule type="expression" dxfId="153" priority="262">
      <formula>SUM($I64:$I86)=COUNT($I64:$I86)</formula>
    </cfRule>
  </conditionalFormatting>
  <conditionalFormatting sqref="B69:B70">
    <cfRule type="expression" dxfId="152" priority="289">
      <formula>SUM($I69:$I92)=COUNT($I69:$I92)</formula>
    </cfRule>
    <cfRule type="expression" dxfId="151" priority="290">
      <formula>AND(SUM($I69:$I92)&gt;COUNT($I69:$I92),SUM($I69:$I92)&lt;COUNT($I69:$I92)*3)</formula>
    </cfRule>
    <cfRule type="expression" dxfId="150" priority="291">
      <formula>SUM($I69:$I92)=COUNT($I69:$I92)*3</formula>
    </cfRule>
  </conditionalFormatting>
  <conditionalFormatting sqref="B71">
    <cfRule type="expression" dxfId="149" priority="294">
      <formula>SUM($I71:$I93)=COUNT($I71:$I93)*3</formula>
    </cfRule>
    <cfRule type="expression" dxfId="148" priority="292">
      <formula>SUM($I71:$I93)=COUNT($I71:$I93)</formula>
    </cfRule>
    <cfRule type="expression" dxfId="147" priority="293">
      <formula>AND(SUM($I71:$I93)&gt;COUNT($I71:$I93),SUM($I71:$I93)&lt;COUNT($I71:$I93)*3)</formula>
    </cfRule>
  </conditionalFormatting>
  <conditionalFormatting sqref="C4">
    <cfRule type="expression" dxfId="146" priority="64">
      <formula>SUM($I4:$I39)=COUNT($I4:$I39)</formula>
    </cfRule>
    <cfRule type="expression" dxfId="145" priority="65">
      <formula>AND(SUM($I4:$I39)&gt;COUNT($I4:$I39),SUM($I4:$I39)&lt;COUNT($I4:$I39)*3)</formula>
    </cfRule>
    <cfRule type="expression" dxfId="144" priority="66">
      <formula>SUM($I4:$I39)=COUNT($I4:$I39)*3</formula>
    </cfRule>
  </conditionalFormatting>
  <conditionalFormatting sqref="C40:C41 C49:C51 C60:C63">
    <cfRule type="expression" dxfId="143" priority="74">
      <formula>AND(SUM($I40:$I51)&gt;COUNT($I40:$I51),SUM($I40:$I51)&lt;COUNT($I40:$I51)*3)</formula>
    </cfRule>
    <cfRule type="expression" dxfId="142" priority="75">
      <formula>SUM($I40:$I51)=COUNT($I40:$I51)*3</formula>
    </cfRule>
    <cfRule type="expression" dxfId="141" priority="73">
      <formula>SUM($I40:$I51)=COUNT($I40:$I51)</formula>
    </cfRule>
  </conditionalFormatting>
  <conditionalFormatting sqref="C42:C44">
    <cfRule type="expression" dxfId="140" priority="69">
      <formula>SUM($I42:$I54)=COUNT($I42:$I54)*3</formula>
    </cfRule>
    <cfRule type="expression" dxfId="139" priority="67">
      <formula>SUM($I42:$I54)=COUNT($I42:$I54)</formula>
    </cfRule>
    <cfRule type="expression" dxfId="138" priority="68">
      <formula>AND(SUM($I42:$I54)&gt;COUNT($I42:$I54),SUM($I42:$I54)&lt;COUNT($I42:$I54)*3)</formula>
    </cfRule>
  </conditionalFormatting>
  <conditionalFormatting sqref="C45:C46">
    <cfRule type="expression" dxfId="137" priority="18">
      <formula>SUM($I45:$I60)=COUNT($I45:$I60)*3</formula>
    </cfRule>
    <cfRule type="expression" dxfId="136" priority="16">
      <formula>SUM($I45:$I60)=COUNT($I45:$I60)</formula>
    </cfRule>
    <cfRule type="expression" dxfId="135" priority="17">
      <formula>AND(SUM($I45:$I60)&gt;COUNT($I45:$I60),SUM($I45:$I60)&lt;COUNT($I45:$I60)*3)</formula>
    </cfRule>
  </conditionalFormatting>
  <conditionalFormatting sqref="C47:C48">
    <cfRule type="expression" dxfId="134" priority="76">
      <formula>SUM($I47:$I60)=COUNT($I47:$I60)</formula>
    </cfRule>
    <cfRule type="expression" dxfId="133" priority="77">
      <formula>AND(SUM($I47:$I60)&gt;COUNT($I47:$I60),SUM($I47:$I60)&lt;COUNT($I47:$I60)*3)</formula>
    </cfRule>
    <cfRule type="expression" dxfId="132" priority="78">
      <formula>SUM($I47:$I60)=COUNT($I47:$I60)*3</formula>
    </cfRule>
  </conditionalFormatting>
  <conditionalFormatting sqref="C52">
    <cfRule type="expression" dxfId="131" priority="88">
      <formula>SUM($I52:$I71)=COUNT($I52:$I71)</formula>
    </cfRule>
    <cfRule type="expression" dxfId="130" priority="89">
      <formula>AND(SUM($I52:$I71)&gt;COUNT($I52:$I71),SUM($I52:$I71)&lt;COUNT($I52:$I71)*3)</formula>
    </cfRule>
    <cfRule type="expression" dxfId="129" priority="90">
      <formula>SUM($I52:$I71)=COUNT($I52:$I71)*3</formula>
    </cfRule>
  </conditionalFormatting>
  <conditionalFormatting sqref="C53:C59">
    <cfRule type="expression" dxfId="128" priority="299">
      <formula>AND(SUM($I53:$I71)&gt;COUNT($I53:$I71),SUM($I53:$I71)&lt;COUNT($I53:$I71)*3)</formula>
    </cfRule>
    <cfRule type="expression" dxfId="127" priority="300">
      <formula>SUM($I53:$I71)=COUNT($I53:$I71)*3</formula>
    </cfRule>
    <cfRule type="expression" dxfId="126" priority="298">
      <formula>SUM($I53:$I71)=COUNT($I53:$I71)</formula>
    </cfRule>
  </conditionalFormatting>
  <conditionalFormatting sqref="C64:C66">
    <cfRule type="expression" dxfId="125" priority="304">
      <formula>SUM($I64:$I71)=COUNT($I64:$I71)</formula>
    </cfRule>
    <cfRule type="expression" dxfId="124" priority="305">
      <formula>AND(SUM($I64:$I71)&gt;COUNT($I64:$I71),SUM($I64:$I71)&lt;COUNT($I64:$I71)*3)</formula>
    </cfRule>
    <cfRule type="expression" dxfId="123" priority="306">
      <formula>SUM($I64:$I71)=COUNT($I64:$I71)*3</formula>
    </cfRule>
  </conditionalFormatting>
  <conditionalFormatting sqref="C67:C70">
    <cfRule type="expression" dxfId="122" priority="311">
      <formula>AND(SUM($I67:$I71)&gt;COUNT($I67:$I71),SUM($I67:$I71)&lt;COUNT($I67:$I71)*3)</formula>
    </cfRule>
    <cfRule type="expression" dxfId="121" priority="312">
      <formula>SUM($I67:$I71)=COUNT($I67:$I71)*3</formula>
    </cfRule>
    <cfRule type="expression" dxfId="120" priority="310">
      <formula>SUM($I67:$I71)=COUNT($I67:$I71)</formula>
    </cfRule>
  </conditionalFormatting>
  <conditionalFormatting sqref="C71">
    <cfRule type="expression" dxfId="119" priority="308">
      <formula>AND(SUM($I71:$I71)&gt;COUNT($I71:$I71),SUM($I71:$I71)&lt;COUNT($I71:$I71)*3)</formula>
    </cfRule>
    <cfRule type="expression" dxfId="118" priority="307">
      <formula>SUM($I71:$I71)=COUNT($I71:$I71)</formula>
    </cfRule>
    <cfRule type="expression" dxfId="117" priority="309">
      <formula>SUM($I71:$I71)=COUNT($I71:$I71)*3</formula>
    </cfRule>
  </conditionalFormatting>
  <conditionalFormatting sqref="D65:D71">
    <cfRule type="expression" dxfId="116" priority="84">
      <formula>SUM($I$64:$I$71)=3*COUNT($I$64:$I$71)</formula>
    </cfRule>
    <cfRule type="expression" dxfId="115" priority="83">
      <formula>AND(SUM($I$64:$I$71)&gt;COUNT($I$64:$I$71), SUM($I$64:$I$71)&lt;3*COUNT($I$64:$I$71))</formula>
    </cfRule>
    <cfRule type="expression" dxfId="114" priority="82">
      <formula>SUM($I$64:$I$71)=COUNT($I$64:$I$71)</formula>
    </cfRule>
  </conditionalFormatting>
  <conditionalFormatting sqref="D4:E4">
    <cfRule type="expression" dxfId="113" priority="47">
      <formula>AND(SUM($I4:$I11)&gt;COUNT($I4:$I11),SUM($I4:$I11)&lt;COUNT($I4:$I11)*3)</formula>
    </cfRule>
    <cfRule type="expression" dxfId="112" priority="46">
      <formula>SUM($I4:$I11)=COUNT($I4:$I11)</formula>
    </cfRule>
    <cfRule type="expression" dxfId="111" priority="48">
      <formula>SUM($I4:$I11)=COUNT($I4:$I11)*3</formula>
    </cfRule>
  </conditionalFormatting>
  <conditionalFormatting sqref="D12:E12">
    <cfRule type="expression" dxfId="110" priority="4">
      <formula>SUM($I$12:$I$15)=COUNT($I$12:$I$15)</formula>
    </cfRule>
    <cfRule type="expression" dxfId="109" priority="5">
      <formula>AND(SUM($I$12:$I$15)&gt;COUNT($I$12:$I$15), SUM($I$12:$I$15)&lt;3*COUNT($I$12:$I$15))</formula>
    </cfRule>
    <cfRule type="expression" dxfId="108" priority="6">
      <formula>SUM($I$12:$I$15)=3*COUNT($I$12:$I$15)</formula>
    </cfRule>
  </conditionalFormatting>
  <conditionalFormatting sqref="D16:E16 E17:E21">
    <cfRule type="expression" dxfId="107" priority="11">
      <formula>AND(SUM($I$16:$I$21)&gt;COUNT($I$16:$I$21), SUM($I$16:$I$21)&lt;3*COUNT($I$16:$I$21))</formula>
    </cfRule>
    <cfRule type="expression" dxfId="106" priority="10">
      <formula>SUM($I$16:$I$21)=COUNT($I$16:$I$21)</formula>
    </cfRule>
    <cfRule type="expression" dxfId="105" priority="12">
      <formula>SUM($I$16:$I$21)=3*COUNT($I$16:$I$21)</formula>
    </cfRule>
  </conditionalFormatting>
  <conditionalFormatting sqref="D22:E29">
    <cfRule type="expression" dxfId="104" priority="9">
      <formula>SUM($I$22:$I$29)=3*COUNT($I$22:$I$29)</formula>
    </cfRule>
    <cfRule type="expression" dxfId="103" priority="8">
      <formula>AND(SUM($I$22:$I$29)&gt;COUNT($I$22:$I$29), SUM($I$22:$I$29)&lt;3*COUNT($I$22:$I$29))</formula>
    </cfRule>
    <cfRule type="expression" dxfId="102" priority="7">
      <formula>SUM($I$22:$I$29)=COUNT($I$22:$I$29)</formula>
    </cfRule>
  </conditionalFormatting>
  <conditionalFormatting sqref="D30:E39">
    <cfRule type="expression" dxfId="101" priority="1">
      <formula>SUM($I$30:$I$39)=COUNT($I$30:$I$39)</formula>
    </cfRule>
    <cfRule type="expression" dxfId="100" priority="2">
      <formula>AND(SUM($I$30:$I$39)&gt;COUNT($I$30:$I$39), SUM($I$30:$I$39)&lt;3*COUNT($I$30:$I$39))</formula>
    </cfRule>
    <cfRule type="expression" dxfId="99" priority="3">
      <formula>SUM($I$30:$I$39)=3*COUNT($I$30:$I$39)</formula>
    </cfRule>
  </conditionalFormatting>
  <conditionalFormatting sqref="D40:E40 D41:D43">
    <cfRule type="expression" dxfId="98" priority="70">
      <formula>SUM($I$40:$I$43)=COUNT($I$40:$I$43)</formula>
    </cfRule>
    <cfRule type="expression" dxfId="97" priority="71">
      <formula>AND(SUM($I$40:$I$43)&gt;COUNT($I$40:$I$43), SUM($I$40:$I$43)&lt;3*COUNT($I$40:$I$43))</formula>
    </cfRule>
    <cfRule type="expression" dxfId="96" priority="72">
      <formula>SUM($I$40:$I$43)=3*COUNT($I$40:$I$43)</formula>
    </cfRule>
  </conditionalFormatting>
  <conditionalFormatting sqref="D44:E44">
    <cfRule type="expression" dxfId="95" priority="40">
      <formula>SUM($I$44:$I$51)=COUNT($I$44:$I$51)</formula>
    </cfRule>
    <cfRule type="expression" dxfId="94" priority="41">
      <formula>AND(SUM($I$44:$I$51)&gt;COUNT($I$44:$I$51), SUM($I$44:$I$51)&lt;3*COUNT($I$44:$I$51))</formula>
    </cfRule>
    <cfRule type="expression" dxfId="93" priority="42">
      <formula>SUM($I$44:$I$51)=3*COUNT($I$44:$I$51)</formula>
    </cfRule>
  </conditionalFormatting>
  <conditionalFormatting sqref="D52:E52 D53">
    <cfRule type="expression" dxfId="92" priority="37">
      <formula>SUM($I$52:$I$53)=COUNT($I$52:$I$53)</formula>
    </cfRule>
    <cfRule type="expression" dxfId="91" priority="38">
      <formula>AND(SUM($I$52:$I$53)&gt;COUNT($I$52:$I$53), SUM($I$52:$I$53)&lt;3*COUNT($I$52:$I$53))</formula>
    </cfRule>
    <cfRule type="expression" dxfId="90" priority="39">
      <formula>SUM($I$52:$I$53)=3*COUNT($I$52:$I$53)</formula>
    </cfRule>
  </conditionalFormatting>
  <conditionalFormatting sqref="D54:E54 D55:D63">
    <cfRule type="expression" dxfId="89" priority="81">
      <formula>SUM($I$54:$I$63)=3*COUNT($I$54:$I$63)</formula>
    </cfRule>
    <cfRule type="expression" dxfId="88" priority="79">
      <formula>SUM($I$54:$I$63)=COUNT($I$54:$I$63)</formula>
    </cfRule>
    <cfRule type="expression" dxfId="87" priority="80">
      <formula>AND(SUM($I$54:$I$63)&gt;COUNT($I$54:$I$63), SUM($I$54:$I$63)&lt;3*COUNT($I$54:$I$63))</formula>
    </cfRule>
  </conditionalFormatting>
  <conditionalFormatting sqref="D64:E64">
    <cfRule type="expression" dxfId="86" priority="85">
      <formula>SUM($I$64:$I$71)=COUNT($I$64:$I$71)</formula>
    </cfRule>
    <cfRule type="expression" dxfId="85" priority="87">
      <formula>SUM($I$64:$I$71)=3*COUNT($I$64:$I$71)</formula>
    </cfRule>
    <cfRule type="expression" dxfId="84" priority="86">
      <formula>AND(SUM($I$64:$I$71)&gt;COUNT($I$64:$I$71), SUM($I$64:$I$71)&lt;3*COUNT($I$64:$I$71))</formula>
    </cfRule>
  </conditionalFormatting>
  <conditionalFormatting sqref="F4:I71">
    <cfRule type="expression" dxfId="83" priority="13">
      <formula>$I4=3</formula>
    </cfRule>
    <cfRule type="expression" dxfId="82" priority="15">
      <formula>$I4=1</formula>
    </cfRule>
    <cfRule type="expression" dxfId="81" priority="14">
      <formula>$I4=2</formula>
    </cfRule>
  </conditionalFormatting>
  <pageMargins left="0.23622047244094491" right="0.23622047244094491" top="0.35433070866141736" bottom="0.35433070866141736" header="0.31496062992125984" footer="0.31496062992125984"/>
  <pageSetup paperSize="8"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B560-FCA2-426F-ACF4-B2ED2ED09D4E}">
  <sheetPr>
    <pageSetUpPr fitToPage="1"/>
  </sheetPr>
  <dimension ref="B1:N41"/>
  <sheetViews>
    <sheetView zoomScale="85" zoomScaleNormal="85" workbookViewId="0">
      <pane xSplit="5" ySplit="3" topLeftCell="F12" activePane="bottomRight" state="frozen"/>
      <selection pane="topRight" activeCell="F1" sqref="F1"/>
      <selection pane="bottomLeft" activeCell="A4" sqref="A4"/>
      <selection pane="bottomRight" activeCell="C32" sqref="C32:C41"/>
    </sheetView>
  </sheetViews>
  <sheetFormatPr defaultColWidth="10.625" defaultRowHeight="15.75" x14ac:dyDescent="0.25"/>
  <cols>
    <col min="1" max="1" width="3.25" customWidth="1"/>
    <col min="2" max="3" width="6.75" customWidth="1"/>
    <col min="4" max="4" width="19.625" customWidth="1"/>
    <col min="5" max="5" width="5.625" customWidth="1"/>
    <col min="6" max="6" width="101" customWidth="1"/>
    <col min="7" max="7" width="15.625" style="9" customWidth="1"/>
    <col min="8" max="8" width="15.75" customWidth="1"/>
    <col min="9" max="9" width="18.25" customWidth="1"/>
    <col min="10" max="12" width="2.75" hidden="1" customWidth="1"/>
    <col min="13" max="13" width="10.625" hidden="1" customWidth="1"/>
    <col min="14" max="14" width="0" style="1" hidden="1" customWidth="1"/>
  </cols>
  <sheetData>
    <row r="1" spans="2:14" x14ac:dyDescent="0.25">
      <c r="G1"/>
    </row>
    <row r="2" spans="2:14" ht="21.75" thickBot="1" x14ac:dyDescent="0.4">
      <c r="B2" s="44" t="s">
        <v>0</v>
      </c>
      <c r="C2" s="45"/>
      <c r="D2" s="45"/>
      <c r="E2" s="45"/>
      <c r="F2" s="45"/>
      <c r="G2" s="45"/>
      <c r="H2" s="45"/>
      <c r="I2" s="46"/>
    </row>
    <row r="3" spans="2:14" ht="45" customHeight="1" thickBot="1" x14ac:dyDescent="0.3">
      <c r="B3" s="2" t="s">
        <v>1</v>
      </c>
      <c r="C3" s="2" t="s">
        <v>2</v>
      </c>
      <c r="D3" s="3" t="s">
        <v>3</v>
      </c>
      <c r="E3" s="2"/>
      <c r="F3" s="4" t="s">
        <v>4</v>
      </c>
      <c r="G3" s="4" t="s">
        <v>5</v>
      </c>
      <c r="H3" s="5" t="s">
        <v>6</v>
      </c>
      <c r="I3" s="6" t="s">
        <v>7</v>
      </c>
      <c r="N3" s="7" t="s">
        <v>8</v>
      </c>
    </row>
    <row r="4" spans="2:14" ht="30" x14ac:dyDescent="0.25">
      <c r="B4" s="53" t="s">
        <v>143</v>
      </c>
      <c r="C4" s="56" t="s">
        <v>144</v>
      </c>
      <c r="D4" s="57" t="s">
        <v>145</v>
      </c>
      <c r="E4" s="50" t="str">
        <f>TEXT(J4,"0")&amp;"."&amp;TEXT(K4,"0")&amp;"."&amp;TEXT(L4,"0")</f>
        <v>2.1.1</v>
      </c>
      <c r="F4" s="8" t="s">
        <v>146</v>
      </c>
      <c r="G4" s="13">
        <v>2.0099999999999998</v>
      </c>
      <c r="H4" s="39">
        <v>9.1</v>
      </c>
      <c r="I4" s="39">
        <v>1</v>
      </c>
      <c r="J4" s="9">
        <v>2</v>
      </c>
      <c r="K4" s="9">
        <v>1</v>
      </c>
      <c r="L4">
        <v>1</v>
      </c>
      <c r="M4" s="9" t="str">
        <f t="shared" ref="M4:M27" si="0">TEXT(J4,"0")&amp;"."&amp;TEXT(K4,"0")&amp;"."&amp;TEXT(L4,"0")</f>
        <v>2.1.1</v>
      </c>
      <c r="N4" s="12" t="s">
        <v>147</v>
      </c>
    </row>
    <row r="5" spans="2:14" ht="30" x14ac:dyDescent="0.25">
      <c r="B5" s="54"/>
      <c r="C5" s="54"/>
      <c r="D5" s="58"/>
      <c r="E5" s="51"/>
      <c r="F5" s="11" t="s">
        <v>148</v>
      </c>
      <c r="G5" s="14">
        <v>2.0299999999999998</v>
      </c>
      <c r="H5" s="41">
        <v>9.1999999999999993</v>
      </c>
      <c r="I5" s="41">
        <v>1</v>
      </c>
      <c r="J5" s="9">
        <v>2</v>
      </c>
      <c r="K5" s="9">
        <v>1</v>
      </c>
      <c r="L5">
        <v>1</v>
      </c>
      <c r="M5" s="9" t="str">
        <f t="shared" si="0"/>
        <v>2.1.1</v>
      </c>
      <c r="N5" s="10" t="s">
        <v>149</v>
      </c>
    </row>
    <row r="6" spans="2:14" ht="45" customHeight="1" thickBot="1" x14ac:dyDescent="0.3">
      <c r="B6" s="54"/>
      <c r="C6" s="54"/>
      <c r="D6" s="59"/>
      <c r="E6" s="52"/>
      <c r="F6" s="16" t="s">
        <v>150</v>
      </c>
      <c r="G6" s="17">
        <v>2.04</v>
      </c>
      <c r="H6" s="43">
        <v>9.3000000000000007</v>
      </c>
      <c r="I6" s="43">
        <v>1</v>
      </c>
      <c r="J6" s="9">
        <v>2</v>
      </c>
      <c r="K6" s="9">
        <v>1</v>
      </c>
      <c r="L6">
        <v>1</v>
      </c>
      <c r="M6" s="9" t="str">
        <f t="shared" si="0"/>
        <v>2.1.1</v>
      </c>
      <c r="N6" s="12" t="s">
        <v>151</v>
      </c>
    </row>
    <row r="7" spans="2:14" ht="22.15" customHeight="1" x14ac:dyDescent="0.25">
      <c r="B7" s="54"/>
      <c r="C7" s="54"/>
      <c r="D7" s="57" t="s">
        <v>152</v>
      </c>
      <c r="E7" s="50" t="str">
        <f>TEXT(J7,"0")&amp;"."&amp;TEXT(K7,"0")&amp;"."&amp;TEXT(L7,"0")</f>
        <v>2.1.2</v>
      </c>
      <c r="F7" s="8" t="s">
        <v>153</v>
      </c>
      <c r="G7" s="13">
        <v>2.16</v>
      </c>
      <c r="H7" s="38">
        <v>10.1</v>
      </c>
      <c r="I7" s="39">
        <v>1</v>
      </c>
      <c r="J7" s="9">
        <v>2</v>
      </c>
      <c r="K7" s="9">
        <v>1</v>
      </c>
      <c r="L7">
        <v>2</v>
      </c>
      <c r="M7" s="9" t="str">
        <f t="shared" si="0"/>
        <v>2.1.2</v>
      </c>
      <c r="N7" s="12" t="s">
        <v>154</v>
      </c>
    </row>
    <row r="8" spans="2:14" ht="30" x14ac:dyDescent="0.25">
      <c r="B8" s="54"/>
      <c r="C8" s="54"/>
      <c r="D8" s="58"/>
      <c r="E8" s="51"/>
      <c r="F8" s="11" t="s">
        <v>155</v>
      </c>
      <c r="G8" s="14">
        <v>2.16</v>
      </c>
      <c r="H8" s="40">
        <v>10.1</v>
      </c>
      <c r="I8" s="41">
        <v>1</v>
      </c>
      <c r="J8" s="9">
        <v>2</v>
      </c>
      <c r="K8" s="9">
        <v>1</v>
      </c>
      <c r="L8">
        <v>2</v>
      </c>
      <c r="M8" s="9" t="str">
        <f t="shared" si="0"/>
        <v>2.1.2</v>
      </c>
      <c r="N8" s="12" t="s">
        <v>156</v>
      </c>
    </row>
    <row r="9" spans="2:14" ht="33.75" thickBot="1" x14ac:dyDescent="0.4">
      <c r="B9" s="54"/>
      <c r="C9" s="54"/>
      <c r="D9" s="59"/>
      <c r="E9" s="52"/>
      <c r="F9" s="16" t="s">
        <v>157</v>
      </c>
      <c r="G9" s="17">
        <v>2.17</v>
      </c>
      <c r="H9" s="42">
        <v>10.199999999999999</v>
      </c>
      <c r="I9" s="43">
        <v>1</v>
      </c>
      <c r="J9" s="9">
        <v>2</v>
      </c>
      <c r="K9" s="9">
        <v>1</v>
      </c>
      <c r="L9">
        <v>2</v>
      </c>
      <c r="M9" s="9" t="str">
        <f t="shared" si="0"/>
        <v>2.1.2</v>
      </c>
      <c r="N9" s="12" t="s">
        <v>158</v>
      </c>
    </row>
    <row r="10" spans="2:14" ht="31.15" customHeight="1" x14ac:dyDescent="0.25">
      <c r="B10" s="54"/>
      <c r="C10" s="54"/>
      <c r="D10" s="57" t="s">
        <v>159</v>
      </c>
      <c r="E10" s="50" t="str">
        <f>TEXT(J10,"0")&amp;"."&amp;TEXT(K10,"0")&amp;"."&amp;TEXT(L10,"0")</f>
        <v>2.1.3</v>
      </c>
      <c r="F10" s="8" t="s">
        <v>160</v>
      </c>
      <c r="G10" s="13">
        <v>2.14</v>
      </c>
      <c r="H10" s="38">
        <v>11</v>
      </c>
      <c r="I10" s="39">
        <v>1</v>
      </c>
      <c r="J10" s="9">
        <v>2</v>
      </c>
      <c r="K10" s="9">
        <v>1</v>
      </c>
      <c r="L10">
        <v>3</v>
      </c>
      <c r="M10" s="9" t="str">
        <f t="shared" si="0"/>
        <v>2.1.3</v>
      </c>
      <c r="N10" s="12" t="s">
        <v>161</v>
      </c>
    </row>
    <row r="11" spans="2:14" x14ac:dyDescent="0.25">
      <c r="B11" s="54"/>
      <c r="C11" s="54"/>
      <c r="D11" s="58"/>
      <c r="E11" s="51"/>
      <c r="F11" s="11" t="s">
        <v>162</v>
      </c>
      <c r="G11" s="14">
        <v>2.14</v>
      </c>
      <c r="H11" s="40">
        <v>11</v>
      </c>
      <c r="I11" s="41">
        <v>1</v>
      </c>
      <c r="J11" s="9">
        <v>2</v>
      </c>
      <c r="K11" s="9">
        <v>1</v>
      </c>
      <c r="L11">
        <v>3</v>
      </c>
      <c r="M11" s="9" t="str">
        <f t="shared" si="0"/>
        <v>2.1.3</v>
      </c>
      <c r="N11" s="12" t="s">
        <v>163</v>
      </c>
    </row>
    <row r="12" spans="2:14" x14ac:dyDescent="0.25">
      <c r="B12" s="54"/>
      <c r="C12" s="54"/>
      <c r="D12" s="58"/>
      <c r="E12" s="51"/>
      <c r="F12" s="11" t="s">
        <v>164</v>
      </c>
      <c r="G12" s="14">
        <v>2.14</v>
      </c>
      <c r="H12" s="40">
        <v>11</v>
      </c>
      <c r="I12" s="41">
        <v>1</v>
      </c>
      <c r="J12" s="9">
        <v>2</v>
      </c>
      <c r="K12" s="9">
        <v>1</v>
      </c>
      <c r="L12">
        <v>3</v>
      </c>
      <c r="M12" s="9" t="str">
        <f t="shared" si="0"/>
        <v>2.1.3</v>
      </c>
      <c r="N12" s="12" t="s">
        <v>165</v>
      </c>
    </row>
    <row r="13" spans="2:14" ht="30" x14ac:dyDescent="0.25">
      <c r="B13" s="54"/>
      <c r="C13" s="54"/>
      <c r="D13" s="58"/>
      <c r="E13" s="51"/>
      <c r="F13" s="11" t="s">
        <v>166</v>
      </c>
      <c r="G13" s="14">
        <v>2.14</v>
      </c>
      <c r="H13" s="40">
        <v>11</v>
      </c>
      <c r="I13" s="41">
        <v>1</v>
      </c>
      <c r="J13" s="9">
        <v>2</v>
      </c>
      <c r="K13" s="9">
        <v>1</v>
      </c>
      <c r="L13">
        <v>3</v>
      </c>
      <c r="M13" s="9" t="str">
        <f t="shared" si="0"/>
        <v>2.1.3</v>
      </c>
      <c r="N13" s="12" t="s">
        <v>167</v>
      </c>
    </row>
    <row r="14" spans="2:14" ht="16.5" thickBot="1" x14ac:dyDescent="0.3">
      <c r="B14" s="54"/>
      <c r="C14" s="55"/>
      <c r="D14" s="59"/>
      <c r="E14" s="52"/>
      <c r="F14" s="16" t="s">
        <v>168</v>
      </c>
      <c r="G14" s="17">
        <v>2.15</v>
      </c>
      <c r="H14" s="42">
        <v>11</v>
      </c>
      <c r="I14" s="43">
        <v>1</v>
      </c>
      <c r="J14" s="9">
        <v>2</v>
      </c>
      <c r="K14" s="9">
        <v>1</v>
      </c>
      <c r="L14">
        <v>3</v>
      </c>
      <c r="M14" s="9" t="str">
        <f t="shared" si="0"/>
        <v>2.1.3</v>
      </c>
      <c r="N14" s="12" t="s">
        <v>167</v>
      </c>
    </row>
    <row r="15" spans="2:14" ht="16.149999999999999" customHeight="1" x14ac:dyDescent="0.25">
      <c r="B15" s="54"/>
      <c r="C15" s="56" t="s">
        <v>169</v>
      </c>
      <c r="D15" s="57" t="s">
        <v>170</v>
      </c>
      <c r="E15" s="50" t="str">
        <f>TEXT(J15,"0")&amp;"."&amp;TEXT(K15,"0")&amp;"."&amp;TEXT(L15,"0")</f>
        <v>2.2.1</v>
      </c>
      <c r="F15" s="8" t="s">
        <v>171</v>
      </c>
      <c r="G15" s="13">
        <v>2.0499999999999998</v>
      </c>
      <c r="H15" s="38">
        <v>12</v>
      </c>
      <c r="I15" s="39">
        <v>1</v>
      </c>
      <c r="J15" s="9">
        <v>2</v>
      </c>
      <c r="K15" s="9">
        <v>2</v>
      </c>
      <c r="L15">
        <v>1</v>
      </c>
      <c r="M15" s="9" t="str">
        <f t="shared" si="0"/>
        <v>2.2.1</v>
      </c>
      <c r="N15" s="12" t="s">
        <v>172</v>
      </c>
    </row>
    <row r="16" spans="2:14" x14ac:dyDescent="0.25">
      <c r="B16" s="54"/>
      <c r="C16" s="54"/>
      <c r="D16" s="58"/>
      <c r="E16" s="51"/>
      <c r="F16" s="11" t="s">
        <v>173</v>
      </c>
      <c r="G16" s="14">
        <v>2.0499999999999998</v>
      </c>
      <c r="H16" s="40">
        <v>12</v>
      </c>
      <c r="I16" s="41">
        <v>1</v>
      </c>
      <c r="J16" s="9">
        <v>2</v>
      </c>
      <c r="K16" s="9">
        <v>2</v>
      </c>
      <c r="L16">
        <v>1</v>
      </c>
      <c r="M16" s="9" t="str">
        <f t="shared" si="0"/>
        <v>2.2.1</v>
      </c>
      <c r="N16" s="12" t="s">
        <v>174</v>
      </c>
    </row>
    <row r="17" spans="2:14" x14ac:dyDescent="0.25">
      <c r="B17" s="54"/>
      <c r="C17" s="54"/>
      <c r="D17" s="58"/>
      <c r="E17" s="51"/>
      <c r="F17" s="11" t="s">
        <v>175</v>
      </c>
      <c r="G17" s="14">
        <v>2.0499999999999998</v>
      </c>
      <c r="H17" s="40">
        <v>12</v>
      </c>
      <c r="I17" s="41">
        <v>1</v>
      </c>
      <c r="J17" s="9">
        <v>2</v>
      </c>
      <c r="K17" s="9">
        <v>2</v>
      </c>
      <c r="L17">
        <v>1</v>
      </c>
      <c r="M17" s="9" t="str">
        <f t="shared" si="0"/>
        <v>2.2.1</v>
      </c>
      <c r="N17" s="12"/>
    </row>
    <row r="18" spans="2:14" x14ac:dyDescent="0.25">
      <c r="B18" s="54"/>
      <c r="C18" s="54"/>
      <c r="D18" s="58"/>
      <c r="E18" s="51"/>
      <c r="F18" s="11" t="s">
        <v>176</v>
      </c>
      <c r="G18" s="14">
        <v>2.0499999999999998</v>
      </c>
      <c r="H18" s="40">
        <v>12</v>
      </c>
      <c r="I18" s="41">
        <v>1</v>
      </c>
      <c r="J18" s="9">
        <v>2</v>
      </c>
      <c r="K18" s="9">
        <v>2</v>
      </c>
      <c r="L18">
        <v>1</v>
      </c>
      <c r="M18" s="9" t="str">
        <f t="shared" si="0"/>
        <v>2.2.1</v>
      </c>
      <c r="N18" s="12"/>
    </row>
    <row r="19" spans="2:14" x14ac:dyDescent="0.25">
      <c r="B19" s="54"/>
      <c r="C19" s="54"/>
      <c r="D19" s="58"/>
      <c r="E19" s="51"/>
      <c r="F19" s="11" t="s">
        <v>177</v>
      </c>
      <c r="G19" s="14">
        <v>2.0499999999999998</v>
      </c>
      <c r="H19" s="40">
        <v>12</v>
      </c>
      <c r="I19" s="41">
        <v>1</v>
      </c>
      <c r="J19" s="9">
        <v>2</v>
      </c>
      <c r="K19" s="9">
        <v>2</v>
      </c>
      <c r="L19">
        <v>1</v>
      </c>
      <c r="M19" s="9" t="str">
        <f t="shared" si="0"/>
        <v>2.2.1</v>
      </c>
      <c r="N19" s="12" t="s">
        <v>178</v>
      </c>
    </row>
    <row r="20" spans="2:14" ht="30.75" thickBot="1" x14ac:dyDescent="0.3">
      <c r="B20" s="54"/>
      <c r="C20" s="54"/>
      <c r="D20" s="59"/>
      <c r="E20" s="52"/>
      <c r="F20" s="16" t="s">
        <v>179</v>
      </c>
      <c r="G20" s="17">
        <v>2.0499999999999998</v>
      </c>
      <c r="H20" s="42">
        <v>12</v>
      </c>
      <c r="I20" s="43">
        <v>1</v>
      </c>
      <c r="J20" s="9">
        <v>2</v>
      </c>
      <c r="K20" s="9">
        <v>2</v>
      </c>
      <c r="L20">
        <v>1</v>
      </c>
      <c r="M20" s="9" t="str">
        <f t="shared" si="0"/>
        <v>2.2.1</v>
      </c>
      <c r="N20" s="12" t="s">
        <v>180</v>
      </c>
    </row>
    <row r="21" spans="2:14" ht="31.15" customHeight="1" x14ac:dyDescent="0.25">
      <c r="B21" s="54"/>
      <c r="C21" s="54"/>
      <c r="D21" s="57" t="s">
        <v>181</v>
      </c>
      <c r="E21" s="50" t="str">
        <f>TEXT(J21,"0")&amp;"."&amp;TEXT(K21,"0")&amp;"."&amp;TEXT(L21,"0")</f>
        <v>2.2.2</v>
      </c>
      <c r="F21" s="8" t="s">
        <v>182</v>
      </c>
      <c r="G21" s="13">
        <v>2.06</v>
      </c>
      <c r="H21" s="38">
        <v>13.1</v>
      </c>
      <c r="I21" s="39">
        <v>1</v>
      </c>
      <c r="J21" s="9">
        <v>2</v>
      </c>
      <c r="K21" s="9">
        <v>2</v>
      </c>
      <c r="L21">
        <v>2</v>
      </c>
      <c r="M21" s="9" t="str">
        <f t="shared" si="0"/>
        <v>2.2.2</v>
      </c>
      <c r="N21" s="12" t="s">
        <v>183</v>
      </c>
    </row>
    <row r="22" spans="2:14" x14ac:dyDescent="0.25">
      <c r="B22" s="54"/>
      <c r="C22" s="54"/>
      <c r="D22" s="58"/>
      <c r="E22" s="51"/>
      <c r="F22" s="11" t="s">
        <v>184</v>
      </c>
      <c r="G22" s="14">
        <v>2.06</v>
      </c>
      <c r="H22" s="40">
        <v>13.1</v>
      </c>
      <c r="I22" s="41">
        <v>1</v>
      </c>
      <c r="J22" s="9">
        <v>2</v>
      </c>
      <c r="K22" s="9">
        <v>2</v>
      </c>
      <c r="L22">
        <v>2</v>
      </c>
      <c r="M22" s="9" t="str">
        <f t="shared" si="0"/>
        <v>2.2.2</v>
      </c>
      <c r="N22" s="12" t="s">
        <v>185</v>
      </c>
    </row>
    <row r="23" spans="2:14" ht="16.5" thickBot="1" x14ac:dyDescent="0.3">
      <c r="B23" s="54"/>
      <c r="C23" s="54"/>
      <c r="D23" s="59"/>
      <c r="E23" s="52"/>
      <c r="F23" s="16" t="s">
        <v>186</v>
      </c>
      <c r="G23" s="17">
        <v>2.06</v>
      </c>
      <c r="H23" s="42">
        <v>13.1</v>
      </c>
      <c r="I23" s="43">
        <v>1</v>
      </c>
      <c r="J23" s="9">
        <v>2</v>
      </c>
      <c r="K23" s="9">
        <v>2</v>
      </c>
      <c r="L23">
        <v>2</v>
      </c>
      <c r="M23" s="9" t="str">
        <f t="shared" si="0"/>
        <v>2.2.2</v>
      </c>
      <c r="N23" s="12" t="s">
        <v>187</v>
      </c>
    </row>
    <row r="24" spans="2:14" ht="30" x14ac:dyDescent="0.25">
      <c r="B24" s="54"/>
      <c r="C24" s="54"/>
      <c r="D24" s="57" t="s">
        <v>188</v>
      </c>
      <c r="E24" s="50" t="str">
        <f>TEXT(J24,"0")&amp;"."&amp;TEXT(K24,"0")&amp;"."&amp;TEXT(L24,"0")</f>
        <v>2.2.3</v>
      </c>
      <c r="F24" s="8" t="s">
        <v>189</v>
      </c>
      <c r="G24" s="13">
        <v>2.08</v>
      </c>
      <c r="H24" s="38">
        <v>13.3</v>
      </c>
      <c r="I24" s="39">
        <v>1</v>
      </c>
      <c r="J24" s="9">
        <v>2</v>
      </c>
      <c r="K24" s="9">
        <v>2</v>
      </c>
      <c r="L24">
        <v>3</v>
      </c>
      <c r="M24" s="9" t="str">
        <f t="shared" si="0"/>
        <v>2.2.3</v>
      </c>
      <c r="N24" s="12" t="s">
        <v>190</v>
      </c>
    </row>
    <row r="25" spans="2:14" x14ac:dyDescent="0.25">
      <c r="B25" s="54"/>
      <c r="C25" s="54"/>
      <c r="D25" s="58"/>
      <c r="E25" s="51"/>
      <c r="F25" s="11" t="s">
        <v>191</v>
      </c>
      <c r="G25" s="14">
        <v>2.08</v>
      </c>
      <c r="H25" s="40">
        <v>13.3</v>
      </c>
      <c r="I25" s="41">
        <v>1</v>
      </c>
      <c r="J25" s="9">
        <v>2</v>
      </c>
      <c r="K25" s="9">
        <v>2</v>
      </c>
      <c r="L25">
        <v>3</v>
      </c>
      <c r="M25" s="9" t="str">
        <f t="shared" si="0"/>
        <v>2.2.3</v>
      </c>
      <c r="N25" s="12" t="s">
        <v>192</v>
      </c>
    </row>
    <row r="26" spans="2:14" ht="30.75" thickBot="1" x14ac:dyDescent="0.3">
      <c r="B26" s="54"/>
      <c r="C26" s="54"/>
      <c r="D26" s="59"/>
      <c r="E26" s="52"/>
      <c r="F26" s="16" t="s">
        <v>193</v>
      </c>
      <c r="G26" s="17">
        <v>2.08</v>
      </c>
      <c r="H26" s="42">
        <v>13.3</v>
      </c>
      <c r="I26" s="43">
        <v>1</v>
      </c>
      <c r="J26" s="9">
        <v>2</v>
      </c>
      <c r="K26" s="9">
        <v>2</v>
      </c>
      <c r="L26">
        <v>3</v>
      </c>
      <c r="M26" s="9" t="str">
        <f t="shared" si="0"/>
        <v>2.2.3</v>
      </c>
      <c r="N26" s="12" t="s">
        <v>194</v>
      </c>
    </row>
    <row r="27" spans="2:14" x14ac:dyDescent="0.25">
      <c r="B27" s="54"/>
      <c r="C27" s="54"/>
      <c r="D27" s="57" t="s">
        <v>195</v>
      </c>
      <c r="E27" s="50" t="str">
        <f>TEXT(J27,"0")&amp;"."&amp;TEXT(K27,"0")&amp;"."&amp;TEXT(L27,"0")</f>
        <v>2.2.4</v>
      </c>
      <c r="F27" s="8" t="s">
        <v>196</v>
      </c>
      <c r="G27" s="13">
        <v>2.09</v>
      </c>
      <c r="H27" s="38">
        <v>14</v>
      </c>
      <c r="I27" s="39">
        <v>1</v>
      </c>
      <c r="J27" s="9">
        <v>2</v>
      </c>
      <c r="K27" s="9">
        <v>2</v>
      </c>
      <c r="L27">
        <v>4</v>
      </c>
      <c r="M27" s="9" t="str">
        <f t="shared" si="0"/>
        <v>2.2.4</v>
      </c>
      <c r="N27" s="12" t="s">
        <v>197</v>
      </c>
    </row>
    <row r="28" spans="2:14" x14ac:dyDescent="0.25">
      <c r="B28" s="54"/>
      <c r="C28" s="54"/>
      <c r="D28" s="63"/>
      <c r="E28" s="51"/>
      <c r="F28" s="11" t="s">
        <v>198</v>
      </c>
      <c r="G28" s="14">
        <v>2.09</v>
      </c>
      <c r="H28" s="40">
        <v>14</v>
      </c>
      <c r="I28" s="41">
        <v>1</v>
      </c>
      <c r="J28" s="9">
        <v>2</v>
      </c>
      <c r="K28" s="9">
        <v>2</v>
      </c>
      <c r="L28">
        <v>4</v>
      </c>
      <c r="M28" s="9" t="str">
        <f t="shared" ref="M28:M41" si="1">TEXT(J28,"0")&amp;"."&amp;TEXT(K28,"0")&amp;"."&amp;TEXT(L28,"0")</f>
        <v>2.2.4</v>
      </c>
      <c r="N28" s="12"/>
    </row>
    <row r="29" spans="2:14" x14ac:dyDescent="0.25">
      <c r="B29" s="54"/>
      <c r="C29" s="54"/>
      <c r="D29" s="58"/>
      <c r="E29" s="51"/>
      <c r="F29" s="11" t="s">
        <v>199</v>
      </c>
      <c r="G29" s="14">
        <v>2.09</v>
      </c>
      <c r="H29" s="40">
        <v>14</v>
      </c>
      <c r="I29" s="41">
        <v>1</v>
      </c>
      <c r="J29" s="9">
        <v>2</v>
      </c>
      <c r="K29" s="9">
        <v>2</v>
      </c>
      <c r="L29">
        <v>4</v>
      </c>
      <c r="M29" s="9" t="str">
        <f t="shared" si="1"/>
        <v>2.2.4</v>
      </c>
      <c r="N29" s="12" t="s">
        <v>200</v>
      </c>
    </row>
    <row r="30" spans="2:14" ht="16.5" thickBot="1" x14ac:dyDescent="0.3">
      <c r="B30" s="54"/>
      <c r="C30" s="54"/>
      <c r="D30" s="59"/>
      <c r="E30" s="52"/>
      <c r="F30" s="16" t="s">
        <v>201</v>
      </c>
      <c r="G30" s="17">
        <v>2.09</v>
      </c>
      <c r="H30" s="42">
        <v>14</v>
      </c>
      <c r="I30" s="43">
        <v>1</v>
      </c>
      <c r="J30" s="9">
        <v>2</v>
      </c>
      <c r="K30" s="9">
        <v>2</v>
      </c>
      <c r="L30">
        <v>4</v>
      </c>
      <c r="M30" s="9" t="str">
        <f t="shared" si="1"/>
        <v>2.2.4</v>
      </c>
      <c r="N30" s="12" t="s">
        <v>202</v>
      </c>
    </row>
    <row r="31" spans="2:14" ht="31.15" customHeight="1" thickBot="1" x14ac:dyDescent="0.3">
      <c r="B31" s="54"/>
      <c r="C31" s="54"/>
      <c r="D31" s="36" t="s">
        <v>203</v>
      </c>
      <c r="E31" s="37" t="str">
        <f>TEXT(J31,"0")&amp;"."&amp;TEXT(K31,"0")&amp;"."&amp;TEXT(L31,"0")</f>
        <v>2.2.5</v>
      </c>
      <c r="F31" s="8" t="s">
        <v>204</v>
      </c>
      <c r="G31" s="13">
        <v>2.1</v>
      </c>
      <c r="H31" s="38">
        <v>15</v>
      </c>
      <c r="I31" s="39">
        <v>1</v>
      </c>
      <c r="J31" s="9">
        <v>2</v>
      </c>
      <c r="K31" s="9">
        <v>2</v>
      </c>
      <c r="L31">
        <v>5</v>
      </c>
      <c r="M31" s="9" t="str">
        <f t="shared" si="1"/>
        <v>2.2.5</v>
      </c>
      <c r="N31" s="12" t="s">
        <v>205</v>
      </c>
    </row>
    <row r="32" spans="2:14" ht="29.65" customHeight="1" x14ac:dyDescent="0.25">
      <c r="B32" s="54"/>
      <c r="C32" s="56" t="s">
        <v>206</v>
      </c>
      <c r="D32" s="60" t="s">
        <v>207</v>
      </c>
      <c r="E32" s="50" t="str">
        <f>TEXT(J32,"0")&amp;"."&amp;TEXT(K32,"0")&amp;"."&amp;TEXT(L32,"0")</f>
        <v>2.3.1</v>
      </c>
      <c r="F32" s="8" t="s">
        <v>208</v>
      </c>
      <c r="G32" s="13">
        <v>2.1800000000000002</v>
      </c>
      <c r="H32" s="38">
        <v>16.100000000000001</v>
      </c>
      <c r="I32" s="39">
        <v>1</v>
      </c>
      <c r="J32" s="9">
        <v>2</v>
      </c>
      <c r="K32" s="9">
        <v>3</v>
      </c>
      <c r="L32">
        <v>1</v>
      </c>
      <c r="M32" s="9" t="str">
        <f t="shared" si="1"/>
        <v>2.3.1</v>
      </c>
      <c r="N32" s="12" t="s">
        <v>209</v>
      </c>
    </row>
    <row r="33" spans="2:14" ht="30" x14ac:dyDescent="0.25">
      <c r="B33" s="54"/>
      <c r="C33" s="54"/>
      <c r="D33" s="61"/>
      <c r="E33" s="51"/>
      <c r="F33" s="11" t="s">
        <v>210</v>
      </c>
      <c r="G33" s="14">
        <v>2.1800000000000002</v>
      </c>
      <c r="H33" s="40">
        <v>16.100000000000001</v>
      </c>
      <c r="I33" s="41">
        <v>1</v>
      </c>
      <c r="J33" s="9">
        <v>2</v>
      </c>
      <c r="K33" s="9">
        <v>3</v>
      </c>
      <c r="L33">
        <v>1</v>
      </c>
      <c r="M33" s="9" t="str">
        <f t="shared" si="1"/>
        <v>2.3.1</v>
      </c>
      <c r="N33" s="12" t="s">
        <v>211</v>
      </c>
    </row>
    <row r="34" spans="2:14" x14ac:dyDescent="0.25">
      <c r="B34" s="54"/>
      <c r="C34" s="54"/>
      <c r="D34" s="61"/>
      <c r="E34" s="51"/>
      <c r="F34" s="11" t="s">
        <v>212</v>
      </c>
      <c r="G34" s="14">
        <v>2.1800000000000002</v>
      </c>
      <c r="H34" s="40">
        <v>16.100000000000001</v>
      </c>
      <c r="I34" s="41">
        <v>1</v>
      </c>
      <c r="J34" s="9">
        <v>2</v>
      </c>
      <c r="K34" s="9">
        <v>3</v>
      </c>
      <c r="L34">
        <v>1</v>
      </c>
      <c r="M34" s="9" t="str">
        <f t="shared" si="1"/>
        <v>2.3.1</v>
      </c>
      <c r="N34" s="12" t="s">
        <v>213</v>
      </c>
    </row>
    <row r="35" spans="2:14" ht="18" x14ac:dyDescent="0.35">
      <c r="B35" s="54"/>
      <c r="C35" s="54"/>
      <c r="D35" s="61"/>
      <c r="E35" s="51"/>
      <c r="F35" s="11" t="s">
        <v>214</v>
      </c>
      <c r="G35" s="14">
        <v>2.1800000000000002</v>
      </c>
      <c r="H35" s="40">
        <v>16.100000000000001</v>
      </c>
      <c r="I35" s="41">
        <v>1</v>
      </c>
      <c r="J35" s="9">
        <v>2</v>
      </c>
      <c r="K35" s="9">
        <v>3</v>
      </c>
      <c r="L35">
        <v>1</v>
      </c>
      <c r="M35" s="9" t="str">
        <f t="shared" si="1"/>
        <v>2.3.1</v>
      </c>
      <c r="N35" s="12" t="s">
        <v>215</v>
      </c>
    </row>
    <row r="36" spans="2:14" ht="32.1" customHeight="1" x14ac:dyDescent="0.25">
      <c r="B36" s="54"/>
      <c r="C36" s="54"/>
      <c r="D36" s="61"/>
      <c r="E36" s="51"/>
      <c r="F36" s="11" t="s">
        <v>216</v>
      </c>
      <c r="G36" s="14">
        <v>2.1800000000000002</v>
      </c>
      <c r="H36" s="40">
        <v>16.100000000000001</v>
      </c>
      <c r="I36" s="41">
        <v>1</v>
      </c>
      <c r="J36" s="9">
        <v>2</v>
      </c>
      <c r="K36" s="9">
        <v>3</v>
      </c>
      <c r="L36">
        <v>1</v>
      </c>
      <c r="M36" s="9" t="str">
        <f t="shared" si="1"/>
        <v>2.3.1</v>
      </c>
      <c r="N36" s="12" t="s">
        <v>215</v>
      </c>
    </row>
    <row r="37" spans="2:14" x14ac:dyDescent="0.25">
      <c r="B37" s="54"/>
      <c r="C37" s="54"/>
      <c r="D37" s="61"/>
      <c r="E37" s="51"/>
      <c r="F37" s="11" t="s">
        <v>217</v>
      </c>
      <c r="G37" s="14">
        <v>2.1800000000000002</v>
      </c>
      <c r="H37" s="40">
        <v>16.3</v>
      </c>
      <c r="I37" s="41">
        <v>1</v>
      </c>
      <c r="J37" s="9">
        <v>2</v>
      </c>
      <c r="K37" s="9">
        <v>3</v>
      </c>
      <c r="L37">
        <v>1</v>
      </c>
      <c r="M37" s="9" t="str">
        <f t="shared" si="1"/>
        <v>2.3.1</v>
      </c>
      <c r="N37" s="12" t="s">
        <v>218</v>
      </c>
    </row>
    <row r="38" spans="2:14" ht="31.15" customHeight="1" x14ac:dyDescent="0.25">
      <c r="B38" s="54"/>
      <c r="C38" s="54"/>
      <c r="D38" s="61"/>
      <c r="E38" s="51"/>
      <c r="F38" s="11" t="s">
        <v>219</v>
      </c>
      <c r="G38" s="14">
        <v>2.1800000000000002</v>
      </c>
      <c r="H38" s="40">
        <v>16.3</v>
      </c>
      <c r="I38" s="41">
        <v>1</v>
      </c>
      <c r="J38" s="9">
        <v>2</v>
      </c>
      <c r="K38" s="9">
        <v>3</v>
      </c>
      <c r="L38">
        <v>1</v>
      </c>
      <c r="M38" s="9" t="str">
        <f t="shared" si="1"/>
        <v>2.3.1</v>
      </c>
      <c r="N38" s="12" t="s">
        <v>218</v>
      </c>
    </row>
    <row r="39" spans="2:14" x14ac:dyDescent="0.25">
      <c r="B39" s="54"/>
      <c r="C39" s="54"/>
      <c r="D39" s="61"/>
      <c r="E39" s="51"/>
      <c r="F39" s="11" t="s">
        <v>220</v>
      </c>
      <c r="G39" s="14">
        <v>2.1800000000000002</v>
      </c>
      <c r="H39" s="40">
        <v>16.399999999999999</v>
      </c>
      <c r="I39" s="41">
        <v>1</v>
      </c>
      <c r="J39" s="9">
        <v>2</v>
      </c>
      <c r="K39" s="9">
        <v>3</v>
      </c>
      <c r="L39">
        <v>1</v>
      </c>
      <c r="M39" s="9" t="str">
        <f t="shared" si="1"/>
        <v>2.3.1</v>
      </c>
      <c r="N39" s="12" t="s">
        <v>221</v>
      </c>
    </row>
    <row r="40" spans="2:14" ht="45" x14ac:dyDescent="0.25">
      <c r="B40" s="54"/>
      <c r="C40" s="54"/>
      <c r="D40" s="61"/>
      <c r="E40" s="51"/>
      <c r="F40" s="11" t="s">
        <v>222</v>
      </c>
      <c r="G40" s="14">
        <v>2.1800000000000002</v>
      </c>
      <c r="H40" s="40">
        <v>16.399999999999999</v>
      </c>
      <c r="I40" s="41">
        <v>1</v>
      </c>
      <c r="J40" s="9">
        <v>2</v>
      </c>
      <c r="K40" s="9">
        <v>3</v>
      </c>
      <c r="L40">
        <v>1</v>
      </c>
      <c r="M40" s="9" t="str">
        <f t="shared" si="1"/>
        <v>2.3.1</v>
      </c>
      <c r="N40" s="12" t="s">
        <v>223</v>
      </c>
    </row>
    <row r="41" spans="2:14" ht="30.75" thickBot="1" x14ac:dyDescent="0.3">
      <c r="B41" s="55"/>
      <c r="C41" s="55"/>
      <c r="D41" s="62"/>
      <c r="E41" s="52"/>
      <c r="F41" s="16" t="s">
        <v>224</v>
      </c>
      <c r="G41" s="17">
        <v>2.19</v>
      </c>
      <c r="H41" s="42">
        <v>16.3</v>
      </c>
      <c r="I41" s="43">
        <v>1</v>
      </c>
      <c r="J41" s="9">
        <v>2</v>
      </c>
      <c r="K41" s="9">
        <v>3</v>
      </c>
      <c r="L41">
        <v>1</v>
      </c>
      <c r="M41" s="9" t="str">
        <f t="shared" si="1"/>
        <v>2.3.1</v>
      </c>
      <c r="N41" s="12" t="s">
        <v>225</v>
      </c>
    </row>
  </sheetData>
  <mergeCells count="21">
    <mergeCell ref="E21:E23"/>
    <mergeCell ref="D24:D26"/>
    <mergeCell ref="E24:E26"/>
    <mergeCell ref="D27:D30"/>
    <mergeCell ref="E27:E30"/>
    <mergeCell ref="B2:I2"/>
    <mergeCell ref="B4:B41"/>
    <mergeCell ref="C4:C14"/>
    <mergeCell ref="D4:D6"/>
    <mergeCell ref="E4:E6"/>
    <mergeCell ref="D7:D9"/>
    <mergeCell ref="E7:E9"/>
    <mergeCell ref="D10:D14"/>
    <mergeCell ref="E10:E14"/>
    <mergeCell ref="C15:C31"/>
    <mergeCell ref="D15:D20"/>
    <mergeCell ref="C32:C41"/>
    <mergeCell ref="D32:D41"/>
    <mergeCell ref="E32:E41"/>
    <mergeCell ref="E15:E20"/>
    <mergeCell ref="D21:D23"/>
  </mergeCells>
  <conditionalFormatting sqref="B4:B6">
    <cfRule type="expression" dxfId="80" priority="185">
      <formula>AND(SUM($I4:$I41)&gt;COUNT($I4:$I41),SUM($I4:$I41)&lt;COUNT($I4:$I41)*3)</formula>
    </cfRule>
    <cfRule type="expression" dxfId="79" priority="184">
      <formula>SUM($I4:$I41)=COUNT($I4:$I41)</formula>
    </cfRule>
    <cfRule type="expression" dxfId="78" priority="186">
      <formula>SUM($I4:$I41)=COUNT($I4:$I41)*3</formula>
    </cfRule>
  </conditionalFormatting>
  <conditionalFormatting sqref="B7">
    <cfRule type="expression" dxfId="77" priority="148">
      <formula>SUM($I7:$I43)=COUNT($I7:$I43)</formula>
    </cfRule>
    <cfRule type="expression" dxfId="76" priority="150">
      <formula>SUM($I7:$I43)=COUNT($I7:$I43)*3</formula>
    </cfRule>
    <cfRule type="expression" dxfId="75" priority="149">
      <formula>AND(SUM($I7:$I43)&gt;COUNT($I7:$I43),SUM($I7:$I43)&lt;COUNT($I7:$I43)*3)</formula>
    </cfRule>
  </conditionalFormatting>
  <conditionalFormatting sqref="B8:B12">
    <cfRule type="expression" dxfId="74" priority="135">
      <formula>SUM($I8:$I43)=COUNT($I8:$I43)*3</formula>
    </cfRule>
    <cfRule type="expression" dxfId="73" priority="134">
      <formula>AND(SUM($I8:$I43)&gt;COUNT($I8:$I43),SUM($I8:$I43)&lt;COUNT($I8:$I43)*3)</formula>
    </cfRule>
    <cfRule type="expression" dxfId="72" priority="133">
      <formula>SUM($I8:$I43)=COUNT($I8:$I43)</formula>
    </cfRule>
  </conditionalFormatting>
  <conditionalFormatting sqref="B13">
    <cfRule type="expression" dxfId="71" priority="167">
      <formula>AND(SUM($I13:$I47)&gt;COUNT($I13:$I47),SUM($I13:$I47)&lt;COUNT($I13:$I47)*3)</formula>
    </cfRule>
    <cfRule type="expression" dxfId="70" priority="168">
      <formula>SUM($I13:$I47)=COUNT($I13:$I47)*3</formula>
    </cfRule>
    <cfRule type="expression" dxfId="69" priority="166">
      <formula>SUM($I13:$I47)=COUNT($I13:$I47)</formula>
    </cfRule>
  </conditionalFormatting>
  <conditionalFormatting sqref="B14:B18">
    <cfRule type="expression" dxfId="68" priority="49">
      <formula>SUM($I14:$I44)=COUNT($I14:$I44)</formula>
    </cfRule>
    <cfRule type="expression" dxfId="67" priority="50">
      <formula>AND(SUM($I14:$I44)&gt;COUNT($I14:$I44),SUM($I14:$I44)&lt;COUNT($I14:$I44)*3)</formula>
    </cfRule>
    <cfRule type="expression" dxfId="66" priority="51">
      <formula>SUM($I14:$I44)=COUNT($I14:$I44)*3</formula>
    </cfRule>
  </conditionalFormatting>
  <conditionalFormatting sqref="B19:B28 B32:B37">
    <cfRule type="expression" dxfId="65" priority="147">
      <formula>SUM($I19:$I48)=COUNT($I19:$I48)*3</formula>
    </cfRule>
    <cfRule type="expression" dxfId="64" priority="146">
      <formula>AND(SUM($I19:$I48)&gt;COUNT($I19:$I48),SUM($I19:$I48)&lt;COUNT($I19:$I48)*3)</formula>
    </cfRule>
    <cfRule type="expression" dxfId="63" priority="145">
      <formula>SUM($I19:$I48)=COUNT($I19:$I48)</formula>
    </cfRule>
  </conditionalFormatting>
  <conditionalFormatting sqref="B29:B31">
    <cfRule type="expression" dxfId="62" priority="98">
      <formula>AND(SUM($I29:$I57)&gt;COUNT($I29:$I57),SUM($I29:$I57)&lt;COUNT($I29:$I57)*3)</formula>
    </cfRule>
    <cfRule type="expression" dxfId="61" priority="97">
      <formula>SUM($I29:$I57)=COUNT($I29:$I57)</formula>
    </cfRule>
    <cfRule type="expression" dxfId="60" priority="99">
      <formula>SUM($I29:$I57)=COUNT($I29:$I57)*3</formula>
    </cfRule>
  </conditionalFormatting>
  <conditionalFormatting sqref="B38:B41">
    <cfRule type="expression" dxfId="59" priority="101">
      <formula>AND(SUM($I38:$I65)&gt;COUNT($I38:$I65),SUM($I38:$I65)&lt;COUNT($I38:$I65)*3)</formula>
    </cfRule>
    <cfRule type="expression" dxfId="58" priority="100">
      <formula>SUM($I38:$I65)=COUNT($I38:$I65)</formula>
    </cfRule>
    <cfRule type="expression" dxfId="57" priority="102">
      <formula>SUM($I38:$I65)=COUNT($I38:$I65)*3</formula>
    </cfRule>
  </conditionalFormatting>
  <conditionalFormatting sqref="C4:C7 C12:C14">
    <cfRule type="expression" dxfId="56" priority="55">
      <formula>SUM($I4:$I14)=COUNT($I4:$I14)</formula>
    </cfRule>
    <cfRule type="expression" dxfId="55" priority="56">
      <formula>AND(SUM($I4:$I14)&gt;COUNT($I4:$I14),SUM($I4:$I14)&lt;COUNT($I4:$I14)*3)</formula>
    </cfRule>
    <cfRule type="expression" dxfId="54" priority="57">
      <formula>SUM($I4:$I14)=COUNT($I4:$I14)*3</formula>
    </cfRule>
  </conditionalFormatting>
  <conditionalFormatting sqref="C8:C11">
    <cfRule type="expression" dxfId="53" priority="75">
      <formula>SUM($I8:$I19)=COUNT($I8:$I19)*3</formula>
    </cfRule>
    <cfRule type="expression" dxfId="52" priority="73">
      <formula>SUM($I8:$I19)=COUNT($I8:$I19)</formula>
    </cfRule>
    <cfRule type="expression" dxfId="51" priority="74">
      <formula>AND(SUM($I8:$I19)&gt;COUNT($I8:$I19),SUM($I8:$I19)&lt;COUNT($I8:$I19)*3)</formula>
    </cfRule>
  </conditionalFormatting>
  <conditionalFormatting sqref="C15:C18 C27:C28">
    <cfRule type="expression" dxfId="50" priority="60">
      <formula>SUM($I15:$I31)=COUNT($I15:$I31)*3</formula>
    </cfRule>
    <cfRule type="expression" dxfId="49" priority="58">
      <formula>SUM($I15:$I31)=COUNT($I15:$I31)</formula>
    </cfRule>
    <cfRule type="expression" dxfId="48" priority="59">
      <formula>AND(SUM($I15:$I31)&gt;COUNT($I15:$I31),SUM($I15:$I31)&lt;COUNT($I15:$I31)*3)</formula>
    </cfRule>
  </conditionalFormatting>
  <conditionalFormatting sqref="C19:C20">
    <cfRule type="expression" dxfId="47" priority="16">
      <formula>SUM($I19:$I34)=COUNT($I19:$I34)</formula>
    </cfRule>
    <cfRule type="expression" dxfId="46" priority="17">
      <formula>AND(SUM($I19:$I34)&gt;COUNT($I19:$I34),SUM($I19:$I34)&lt;COUNT($I19:$I34)*3)</formula>
    </cfRule>
    <cfRule type="expression" dxfId="45" priority="18">
      <formula>SUM($I19:$I34)=COUNT($I19:$I34)*3</formula>
    </cfRule>
  </conditionalFormatting>
  <conditionalFormatting sqref="C21:C26">
    <cfRule type="expression" dxfId="44" priority="173">
      <formula>AND(SUM($I21:$I38)&gt;COUNT($I21:$I38),SUM($I21:$I38)&lt;COUNT($I21:$I38)*3)</formula>
    </cfRule>
    <cfRule type="expression" dxfId="43" priority="172">
      <formula>SUM($I21:$I38)=COUNT($I21:$I38)</formula>
    </cfRule>
    <cfRule type="expression" dxfId="42" priority="174">
      <formula>SUM($I21:$I38)=COUNT($I21:$I38)*3</formula>
    </cfRule>
  </conditionalFormatting>
  <conditionalFormatting sqref="C29:C31">
    <cfRule type="expression" dxfId="41" priority="162">
      <formula>SUM($I29:$I43)=COUNT($I29:$I43)*3</formula>
    </cfRule>
    <cfRule type="expression" dxfId="40" priority="161">
      <formula>AND(SUM($I29:$I43)&gt;COUNT($I29:$I43),SUM($I29:$I43)&lt;COUNT($I29:$I43)*3)</formula>
    </cfRule>
    <cfRule type="expression" dxfId="39" priority="160">
      <formula>SUM($I29:$I43)=COUNT($I29:$I43)</formula>
    </cfRule>
  </conditionalFormatting>
  <conditionalFormatting sqref="C32:C34">
    <cfRule type="expression" dxfId="38" priority="177">
      <formula>SUM($I32:$I41)=COUNT($I32:$I41)*3</formula>
    </cfRule>
    <cfRule type="expression" dxfId="37" priority="176">
      <formula>AND(SUM($I32:$I41)&gt;COUNT($I32:$I41),SUM($I32:$I41)&lt;COUNT($I32:$I41)*3)</formula>
    </cfRule>
    <cfRule type="expression" dxfId="36" priority="175">
      <formula>SUM($I32:$I41)=COUNT($I32:$I41)</formula>
    </cfRule>
  </conditionalFormatting>
  <conditionalFormatting sqref="C35:C37">
    <cfRule type="expression" dxfId="35" priority="63">
      <formula>SUM($I35:$I43)=COUNT($I35:$I43)*3</formula>
    </cfRule>
    <cfRule type="expression" dxfId="34" priority="62">
      <formula>AND(SUM($I35:$I43)&gt;COUNT($I35:$I43),SUM($I35:$I43)&lt;COUNT($I35:$I43)*3)</formula>
    </cfRule>
    <cfRule type="expression" dxfId="33" priority="61">
      <formula>SUM($I35:$I43)=COUNT($I35:$I43)</formula>
    </cfRule>
  </conditionalFormatting>
  <conditionalFormatting sqref="C38:C41">
    <cfRule type="expression" dxfId="32" priority="103">
      <formula>SUM($I38:$I43)=COUNT($I38:$I43)</formula>
    </cfRule>
    <cfRule type="expression" dxfId="31" priority="104">
      <formula>AND(SUM($I38:$I43)&gt;COUNT($I38:$I43),SUM($I38:$I43)&lt;COUNT($I38:$I43)*3)</formula>
    </cfRule>
    <cfRule type="expression" dxfId="30" priority="105">
      <formula>SUM($I38:$I43)=COUNT($I38:$I43)*3</formula>
    </cfRule>
  </conditionalFormatting>
  <conditionalFormatting sqref="D4:E4 D5:D6">
    <cfRule type="expression" dxfId="29" priority="106">
      <formula>SUM($I$4:$I$6)=COUNT($I$4:$I$6)</formula>
    </cfRule>
    <cfRule type="expression" dxfId="28" priority="107">
      <formula>AND(SUM($I$4:$I$6)&gt;COUNT($I$4:$I$6), SUM($I$4:$I$6)&lt;3*COUNT($I$4:$I$6))</formula>
    </cfRule>
    <cfRule type="expression" dxfId="27" priority="108">
      <formula>SUM($I$4:$I$6)=3*COUNT($I$4:$I$6)</formula>
    </cfRule>
  </conditionalFormatting>
  <conditionalFormatting sqref="D7:E7 D8:D9">
    <cfRule type="expression" dxfId="26" priority="36">
      <formula>SUM($I$7:$I$9)=3*COUNT($I$7:$I$9)</formula>
    </cfRule>
    <cfRule type="expression" dxfId="25" priority="35">
      <formula>AND(SUM($I$7:$I$9)&gt;COUNT($I$7:$I$9), SUM($I$7:$I$9)&lt;3*COUNT($I$7:$I$9))</formula>
    </cfRule>
    <cfRule type="expression" dxfId="24" priority="34">
      <formula>SUM($I$7:$I$9)=COUNT($I$7:$I$9)</formula>
    </cfRule>
  </conditionalFormatting>
  <conditionalFormatting sqref="D10:E10 D11:D14">
    <cfRule type="expression" dxfId="23" priority="33">
      <formula>SUM($I$10:$I$14)=3*COUNT($I$10:$I$14)</formula>
    </cfRule>
    <cfRule type="expression" dxfId="22" priority="31">
      <formula>SUM($I$10:$I$14)=COUNT($I$10:$I$14)</formula>
    </cfRule>
    <cfRule type="expression" dxfId="21" priority="32">
      <formula>AND(SUM($I$10:$I$14)&gt;COUNT($I$10:$I$14), SUM($I$10:$I$14)&lt;3*COUNT($I$10:$I$14))</formula>
    </cfRule>
  </conditionalFormatting>
  <conditionalFormatting sqref="D15:E15 D16:D20">
    <cfRule type="expression" dxfId="20" priority="29">
      <formula>AND(SUM($I$15:$I$20)&gt;COUNT($I$15:$I$20), SUM($I$15:$I$20)&lt;3*COUNT($I$15:$I$20))</formula>
    </cfRule>
    <cfRule type="expression" dxfId="19" priority="28">
      <formula>SUM($I$15:$I$20)=COUNT($I$15:$I$20)</formula>
    </cfRule>
    <cfRule type="expression" dxfId="18" priority="30">
      <formula>SUM($I$15:$I$20)=3*COUNT($I$15:$I$20)</formula>
    </cfRule>
  </conditionalFormatting>
  <conditionalFormatting sqref="D21:E21 D22:D23">
    <cfRule type="expression" dxfId="17" priority="144">
      <formula>SUM($I$21:$I$23)=3*COUNT($I$21:$I$23)</formula>
    </cfRule>
    <cfRule type="expression" dxfId="16" priority="143">
      <formula>AND(SUM($I$21:$I$23)&gt;COUNT($I$21:$I$23), SUM($I$21:$I$23)&lt;3*COUNT($I$21:$I$23))</formula>
    </cfRule>
    <cfRule type="expression" dxfId="15" priority="142">
      <formula>SUM($I$21:$I$23)=COUNT($I$21:$I$23)</formula>
    </cfRule>
  </conditionalFormatting>
  <conditionalFormatting sqref="D24:E24 D25:D26">
    <cfRule type="expression" dxfId="14" priority="27">
      <formula>SUM($I$24:$I$26)=3*COUNT($I$24:$I$26)</formula>
    </cfRule>
    <cfRule type="expression" dxfId="13" priority="26">
      <formula>AND(SUM($I$24:$I$26)&gt;COUNT($I$24:$I$26), SUM($I$24:$I$26)&lt;3*COUNT($I$24:$I$26))</formula>
    </cfRule>
    <cfRule type="expression" dxfId="12" priority="25">
      <formula>SUM($I$24:$I$26)=COUNT($I$24:$I$26)</formula>
    </cfRule>
  </conditionalFormatting>
  <conditionalFormatting sqref="D27:E28 D29:D30">
    <cfRule type="expression" dxfId="11" priority="23">
      <formula>AND(SUM($I$27:$I$30)&gt;COUNT($I$27:$I$30), SUM($I$27:$I$30)&lt;3*COUNT($I$27:$I$30))</formula>
    </cfRule>
    <cfRule type="expression" dxfId="10" priority="24">
      <formula>SUM($I$27:$I$30)=3*COUNT($I$27:$I$30)</formula>
    </cfRule>
    <cfRule type="expression" dxfId="9" priority="22">
      <formula>SUM($I$27:$I$30)=COUNT($I$27:$I$30)</formula>
    </cfRule>
  </conditionalFormatting>
  <conditionalFormatting sqref="D31:E31">
    <cfRule type="expression" dxfId="8" priority="157">
      <formula>SUM($I$31:$I$31)=COUNT($I$31:$I$31)</formula>
    </cfRule>
    <cfRule type="expression" dxfId="7" priority="158">
      <formula>AND(SUM($I$31:$I$31)&gt;COUNT($I$31:$I$31), SUM($I$31:$I$31)&lt;3*COUNT($I$31:$I$31))</formula>
    </cfRule>
    <cfRule type="expression" dxfId="6" priority="159">
      <formula>SUM($I$31:$I$31)=3*COUNT($I$31:$I$31)</formula>
    </cfRule>
  </conditionalFormatting>
  <conditionalFormatting sqref="D32:E32 D33:D41">
    <cfRule type="expression" dxfId="5" priority="19">
      <formula>SUM($I$32:$I$41)=COUNT($I$32:$I$41)</formula>
    </cfRule>
    <cfRule type="expression" dxfId="4" priority="20">
      <formula>AND(SUM($I$32:$I$41)&gt;COUNT($I$32:$I$41), SUM($I$32:$I$41)&lt;3*COUNT($I$32:$I$41))</formula>
    </cfRule>
    <cfRule type="expression" dxfId="3" priority="21">
      <formula>SUM($I$32:$I$41)=3*COUNT($I$32:$I$41)</formula>
    </cfRule>
  </conditionalFormatting>
  <conditionalFormatting sqref="F4:I41">
    <cfRule type="expression" dxfId="2" priority="13">
      <formula>$I4=3</formula>
    </cfRule>
    <cfRule type="expression" dxfId="1" priority="15">
      <formula>$I4=1</formula>
    </cfRule>
    <cfRule type="expression" dxfId="0" priority="14">
      <formula>$I4=2</formula>
    </cfRule>
  </conditionalFormatting>
  <pageMargins left="0.23622047244094491" right="0.23622047244094491" top="0.35433070866141736" bottom="0.35433070866141736" header="0.31496062992125984" footer="0.31496062992125984"/>
  <pageSetup paperSize="8" scale="6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53B9268483DE48B47FFFA0669F659B" ma:contentTypeVersion="14" ma:contentTypeDescription="Create a new document." ma:contentTypeScope="" ma:versionID="929892db32f6f28b20506e705a5286b8">
  <xsd:schema xmlns:xsd="http://www.w3.org/2001/XMLSchema" xmlns:xs="http://www.w3.org/2001/XMLSchema" xmlns:p="http://schemas.microsoft.com/office/2006/metadata/properties" xmlns:ns2="3827edae-4ae4-44e3-b3a3-1739238377d4" xmlns:ns3="6c22bfa3-f592-4320-963d-691eea32903f" targetNamespace="http://schemas.microsoft.com/office/2006/metadata/properties" ma:root="true" ma:fieldsID="22a4af26f1bb3924d6d7c8380cc697ca" ns2:_="" ns3:_="">
    <xsd:import namespace="3827edae-4ae4-44e3-b3a3-1739238377d4"/>
    <xsd:import namespace="6c22bfa3-f592-4320-963d-691eea3290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27edae-4ae4-44e3-b3a3-1739238377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3d397c-480d-4149-95e5-be7ffaca68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22bfa3-f592-4320-963d-691eea3290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b4ef30-6bd8-4cdc-9af8-e1c81a231e74}" ma:internalName="TaxCatchAll" ma:showField="CatchAllData" ma:web="6c22bfa3-f592-4320-963d-691eea3290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c22bfa3-f592-4320-963d-691eea32903f" xsi:nil="true"/>
    <lcf76f155ced4ddcb4097134ff3c332f xmlns="3827edae-4ae4-44e3-b3a3-1739238377d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ECDC77-1620-47EB-9117-97AB723F91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27edae-4ae4-44e3-b3a3-1739238377d4"/>
    <ds:schemaRef ds:uri="6c22bfa3-f592-4320-963d-691eea3290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A2C517-C4EC-4AC8-BD9F-694A9BC35DAF}">
  <ds:schemaRefs>
    <ds:schemaRef ds:uri="http://schemas.microsoft.com/sharepoint/v3/contenttype/forms"/>
  </ds:schemaRefs>
</ds:datastoreItem>
</file>

<file path=customXml/itemProps3.xml><?xml version="1.0" encoding="utf-8"?>
<ds:datastoreItem xmlns:ds="http://schemas.openxmlformats.org/officeDocument/2006/customXml" ds:itemID="{BB2F49FA-6E22-45FE-951F-75D1D9B8F4E4}">
  <ds:schemaRefs>
    <ds:schemaRef ds:uri="http://schemas.microsoft.com/office/2006/metadata/properties"/>
    <ds:schemaRef ds:uri="http://schemas.microsoft.com/office/infopath/2007/PartnerControls"/>
    <ds:schemaRef ds:uri="6c22bfa3-f592-4320-963d-691eea32903f"/>
    <ds:schemaRef ds:uri="3827edae-4ae4-44e3-b3a3-1739238377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Unit 1 2025</vt:lpstr>
      <vt:lpstr>Unit 2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Malcolm Corney</dc:creator>
  <cp:keywords/>
  <dc:description/>
  <cp:lastModifiedBy>Malcolm Corney</cp:lastModifiedBy>
  <cp:revision/>
  <cp:lastPrinted>2026-08-06T23:23:30Z</cp:lastPrinted>
  <dcterms:created xsi:type="dcterms:W3CDTF">2025-02-10T10:56:38Z</dcterms:created>
  <dcterms:modified xsi:type="dcterms:W3CDTF">2026-08-20T07:30:58Z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0x010100EB53B9268483DE48B47FFFA0669F659B</vt:lpwstr>
  </property>
  <property fmtid="{D5CDD505-2E9C-101B-9397-08002B2CF9AE}" pid="3" name="MediaServiceImageTags">
    <vt:lpwstr/>
  </property>
</Properties>
</file>