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qedu.sharepoint.com/sites/2409/OurPeople/science/Shared Documents/03 Resourcing/01 Chemistry/00 Planning/2025 Syllabus/"/>
    </mc:Choice>
  </mc:AlternateContent>
  <xr:revisionPtr revIDLastSave="122" documentId="13_ncr:1_{DB60C85A-19B6-4F8D-9FC1-94468706E441}" xr6:coauthVersionLast="47" xr6:coauthVersionMax="47" xr10:uidLastSave="{1BA0EE65-9A46-4592-8238-ABB406CE890A}"/>
  <bookViews>
    <workbookView xWindow="-108" yWindow="-108" windowWidth="23256" windowHeight="13896" xr2:uid="{50184FB5-FA61-184E-9E64-300FCDA64A65}"/>
  </bookViews>
  <sheets>
    <sheet name="Unit 3 and 4 2025"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13" i="2" l="1"/>
  <c r="M86" i="2"/>
  <c r="M87" i="2"/>
  <c r="M88" i="2"/>
  <c r="M89" i="2"/>
  <c r="M90" i="2"/>
  <c r="M91" i="2"/>
  <c r="M92" i="2"/>
  <c r="M93" i="2"/>
  <c r="M77" i="2"/>
  <c r="M78" i="2"/>
  <c r="M79" i="2"/>
  <c r="M80" i="2"/>
  <c r="M81" i="2"/>
  <c r="M71" i="2"/>
  <c r="M72" i="2"/>
  <c r="M73" i="2"/>
  <c r="M65" i="2"/>
  <c r="M66" i="2"/>
  <c r="M64" i="2"/>
  <c r="M62" i="2"/>
  <c r="M58" i="2"/>
  <c r="M34" i="2"/>
  <c r="M35" i="2"/>
  <c r="M50" i="2"/>
  <c r="M51" i="2"/>
  <c r="M45" i="2"/>
  <c r="M40" i="2"/>
  <c r="M41" i="2"/>
  <c r="M24" i="2"/>
  <c r="M25" i="2"/>
  <c r="M26" i="2"/>
  <c r="M27" i="2"/>
  <c r="M28" i="2"/>
  <c r="M16" i="2"/>
  <c r="M17" i="2"/>
  <c r="M18" i="2"/>
  <c r="M19" i="2"/>
  <c r="M15" i="2"/>
  <c r="M94" i="2" l="1"/>
  <c r="E116" i="2"/>
  <c r="E109" i="2"/>
  <c r="E61" i="2"/>
  <c r="E54" i="2"/>
  <c r="E98" i="2"/>
  <c r="E120" i="2"/>
  <c r="E112" i="2"/>
  <c r="E96" i="2"/>
  <c r="E75" i="2"/>
  <c r="E63" i="2"/>
  <c r="E44" i="2"/>
  <c r="E83" i="2"/>
  <c r="E69" i="2"/>
  <c r="E48" i="2"/>
  <c r="E39" i="2"/>
  <c r="E33" i="2"/>
  <c r="E30" i="2"/>
  <c r="E23" i="2"/>
  <c r="E14" i="2"/>
  <c r="E11" i="2"/>
  <c r="E4" i="2"/>
  <c r="M5" i="2"/>
  <c r="M6" i="2"/>
  <c r="M7" i="2"/>
  <c r="M8" i="2"/>
  <c r="M9" i="2"/>
  <c r="M10" i="2"/>
  <c r="M11" i="2"/>
  <c r="M12" i="2"/>
  <c r="M13" i="2"/>
  <c r="M14" i="2"/>
  <c r="M20" i="2"/>
  <c r="M21" i="2"/>
  <c r="M22" i="2"/>
  <c r="M23" i="2"/>
  <c r="M29" i="2"/>
  <c r="M30" i="2"/>
  <c r="M31" i="2"/>
  <c r="M32" i="2"/>
  <c r="M33" i="2"/>
  <c r="M36" i="2"/>
  <c r="M37" i="2"/>
  <c r="M38" i="2"/>
  <c r="M39" i="2"/>
  <c r="M42" i="2"/>
  <c r="M43" i="2"/>
  <c r="M44" i="2"/>
  <c r="M46" i="2"/>
  <c r="M47" i="2"/>
  <c r="M48" i="2"/>
  <c r="M49" i="2"/>
  <c r="M52" i="2"/>
  <c r="M53" i="2"/>
  <c r="M54" i="2"/>
  <c r="M55" i="2"/>
  <c r="M56" i="2"/>
  <c r="M57" i="2"/>
  <c r="M59" i="2"/>
  <c r="M60" i="2"/>
  <c r="M61" i="2"/>
  <c r="M63" i="2"/>
  <c r="M67" i="2"/>
  <c r="M68" i="2"/>
  <c r="M69" i="2"/>
  <c r="M70" i="2"/>
  <c r="M74" i="2"/>
  <c r="M75" i="2"/>
  <c r="M76" i="2"/>
  <c r="M82" i="2"/>
  <c r="M83" i="2"/>
  <c r="M84" i="2"/>
  <c r="M85" i="2"/>
  <c r="M95" i="2"/>
  <c r="M96" i="2"/>
  <c r="M97" i="2"/>
  <c r="M98" i="2"/>
  <c r="M99" i="2"/>
  <c r="M100" i="2"/>
  <c r="M101" i="2"/>
  <c r="M102" i="2"/>
  <c r="M103" i="2"/>
  <c r="M104" i="2"/>
  <c r="M105" i="2"/>
  <c r="M106" i="2"/>
  <c r="M107" i="2"/>
  <c r="M108" i="2"/>
  <c r="M109" i="2"/>
  <c r="M110" i="2"/>
  <c r="M111" i="2"/>
  <c r="M112" i="2"/>
  <c r="M114" i="2"/>
  <c r="M115" i="2"/>
  <c r="M116" i="2"/>
  <c r="M117" i="2"/>
  <c r="M118" i="2"/>
  <c r="M119" i="2"/>
  <c r="M120" i="2"/>
  <c r="M121" i="2"/>
  <c r="M122" i="2"/>
  <c r="M123" i="2"/>
  <c r="M4" i="2"/>
</calcChain>
</file>

<file path=xl/sharedStrings.xml><?xml version="1.0" encoding="utf-8"?>
<sst xmlns="http://schemas.openxmlformats.org/spreadsheetml/2006/main" count="314" uniqueCount="248">
  <si>
    <t>Unit</t>
  </si>
  <si>
    <t>Topic</t>
  </si>
  <si>
    <t>Subtopic</t>
  </si>
  <si>
    <t>Descriptor</t>
  </si>
  <si>
    <t>Textbook Chapter</t>
  </si>
  <si>
    <t>Analytical techniques</t>
  </si>
  <si>
    <t>Brønsted-Lowry model </t>
  </si>
  <si>
    <t>Dissociation constants</t>
  </si>
  <si>
    <t>pH</t>
  </si>
  <si>
    <t xml:space="preserve">Unit 3 and 4 CHEMISTRY STUDY GUIDE </t>
  </si>
  <si>
    <t>Level of Confidence (1-3)</t>
  </si>
  <si>
    <t>3. Equilibrium, Acids and Redox Reactions</t>
  </si>
  <si>
    <t>Topic 1:  Chemical Equilibrium Systems</t>
  </si>
  <si>
    <t>Chemical equilibrium</t>
  </si>
  <si>
    <t>Discriminate between open or closed chemical systems.</t>
  </si>
  <si>
    <t>3.1.1.1</t>
  </si>
  <si>
    <t>Identify that physical changes are usually reversible, whereas only some chemical reactions are reversible.</t>
  </si>
  <si>
    <t>3.1.1.2</t>
  </si>
  <si>
    <t>Symbolise equilibrium equations using ⇋ in balanced chemical equations.</t>
  </si>
  <si>
    <t>3.1.1.4</t>
  </si>
  <si>
    <t>Explain observable properties and the characteristics of physical and chemical systems in a state of equilibrium.</t>
  </si>
  <si>
    <t>3.1.1.3</t>
  </si>
  <si>
    <t>Explain that, over time, physical change and reversible chemical reactions reach a state of dynamic equilibrium in a closed system, with the relative concentrations of products and reactants defining the position of equilibrium.</t>
  </si>
  <si>
    <t>3.1.1.5</t>
  </si>
  <si>
    <t>Explain the reversibility of chemical reactions by considering the activation energies of the forward and reverse reactions.</t>
  </si>
  <si>
    <t>3.1.1.6</t>
  </si>
  <si>
    <t>Analyse data and interpret graphical representations of relative changes in the concentration of reactants and product against time, to determine the position of equilibrium.</t>
  </si>
  <si>
    <t>3.1.1.7</t>
  </si>
  <si>
    <t xml:space="preserve">Factors that affect equilibrium </t>
  </si>
  <si>
    <t>Determine the effect of temperature change on chemical systems at equilibrium by considering the enthalpy change for the forward and reverse reactions.</t>
  </si>
  <si>
    <t>3.1.2.1</t>
  </si>
  <si>
    <t>Explain the effect of changes of temperature, concentration and pressure on chemical systems at equilibrium by applying collision theory to the forward and reverse reactions.</t>
  </si>
  <si>
    <t>3.1.2.2</t>
  </si>
  <si>
    <t>Apply Le Châtelier’s principle to determine the effect changes of temperature, concentration of chemicals, pressure and the addition of a catalyst have on the position of equilibrium and on the value of the equilibrium constant.</t>
  </si>
  <si>
    <t>3.1.2.3</t>
  </si>
  <si>
    <t>Equilibrium Constants</t>
  </si>
  <si>
    <r>
      <t>Identify that the equilibrium constant (</t>
    </r>
    <r>
      <rPr>
        <i/>
        <sz val="11"/>
        <color theme="1"/>
        <rFont val="Calibri"/>
        <family val="2"/>
      </rPr>
      <t>K</t>
    </r>
    <r>
      <rPr>
        <i/>
        <vertAlign val="subscript"/>
        <sz val="11"/>
        <color theme="1"/>
        <rFont val="Calibri"/>
        <family val="2"/>
      </rPr>
      <t>c</t>
    </r>
    <r>
      <rPr>
        <sz val="11"/>
        <color theme="1"/>
        <rFont val="Calibri"/>
        <family val="2"/>
      </rPr>
      <t>) indicates the relationship between product and reactant concentrations at equilibrium.</t>
    </r>
  </si>
  <si>
    <t>3.1.3.1</t>
  </si>
  <si>
    <r>
      <t>Identify that the solubility product (</t>
    </r>
    <r>
      <rPr>
        <i/>
        <sz val="11"/>
        <color theme="1"/>
        <rFont val="Calibri"/>
        <family val="2"/>
      </rPr>
      <t>K</t>
    </r>
    <r>
      <rPr>
        <i/>
        <vertAlign val="subscript"/>
        <sz val="11"/>
        <color theme="1"/>
        <rFont val="Calibri"/>
        <family val="2"/>
      </rPr>
      <t>sp</t>
    </r>
    <r>
      <rPr>
        <sz val="11"/>
        <color theme="1"/>
        <rFont val="Calibri"/>
        <family val="2"/>
      </rPr>
      <t>) gives a measure of the solubility of an ionic compound.</t>
    </r>
  </si>
  <si>
    <t>new</t>
  </si>
  <si>
    <t>Determine the equilibrium law expression for homogeneous and heterogeneous systems.</t>
  </si>
  <si>
    <r>
      <t>Determine the extent of a reaction from the magnitude of the equilibrium constant (</t>
    </r>
    <r>
      <rPr>
        <i/>
        <sz val="11"/>
        <color theme="1"/>
        <rFont val="Calibri"/>
        <family val="2"/>
      </rPr>
      <t>K</t>
    </r>
    <r>
      <rPr>
        <i/>
        <vertAlign val="subscript"/>
        <sz val="11"/>
        <color theme="1"/>
        <rFont val="Calibri"/>
        <family val="2"/>
      </rPr>
      <t>c</t>
    </r>
    <r>
      <rPr>
        <sz val="11"/>
        <color theme="1"/>
        <rFont val="Calibri"/>
        <family val="2"/>
      </rPr>
      <t>).</t>
    </r>
  </si>
  <si>
    <t>3.1.3.3</t>
  </si>
  <si>
    <r>
      <t>Calculate the reaction quotient (</t>
    </r>
    <r>
      <rPr>
        <i/>
        <sz val="11"/>
        <color theme="1"/>
        <rFont val="Calibri"/>
        <family val="2"/>
      </rPr>
      <t>Q</t>
    </r>
    <r>
      <rPr>
        <i/>
        <vertAlign val="subscript"/>
        <sz val="11"/>
        <color theme="1"/>
        <rFont val="Calibri"/>
        <family val="2"/>
      </rPr>
      <t>c</t>
    </r>
    <r>
      <rPr>
        <sz val="11"/>
        <color theme="1"/>
        <rFont val="Calibri"/>
        <family val="2"/>
      </rPr>
      <t xml:space="preserve">) for reversible reactions. (Formula: </t>
    </r>
    <r>
      <rPr>
        <i/>
        <sz val="11"/>
        <color theme="1"/>
        <rFont val="Calibri"/>
        <family val="2"/>
      </rPr>
      <t>Q</t>
    </r>
    <r>
      <rPr>
        <i/>
        <vertAlign val="subscript"/>
        <sz val="11"/>
        <color theme="1"/>
        <rFont val="Calibri"/>
        <family val="2"/>
      </rPr>
      <t>c</t>
    </r>
    <r>
      <rPr>
        <sz val="11"/>
        <color theme="1"/>
        <rFont val="Calibri"/>
        <family val="2"/>
      </rPr>
      <t xml:space="preserve"> = [C]</t>
    </r>
    <r>
      <rPr>
        <vertAlign val="superscript"/>
        <sz val="11"/>
        <color theme="1"/>
        <rFont val="Calibri"/>
        <family val="2"/>
      </rPr>
      <t>c</t>
    </r>
    <r>
      <rPr>
        <sz val="11"/>
        <color theme="1"/>
        <rFont val="Calibri"/>
        <family val="2"/>
      </rPr>
      <t>[D]</t>
    </r>
    <r>
      <rPr>
        <vertAlign val="superscript"/>
        <sz val="11"/>
        <color theme="1"/>
        <rFont val="Calibri"/>
        <family val="2"/>
      </rPr>
      <t>d</t>
    </r>
    <r>
      <rPr>
        <sz val="11"/>
        <color theme="1"/>
        <rFont val="Calibri"/>
        <family val="2"/>
      </rPr>
      <t>/[A]</t>
    </r>
    <r>
      <rPr>
        <vertAlign val="superscript"/>
        <sz val="11"/>
        <color theme="1"/>
        <rFont val="Calibri"/>
        <family val="2"/>
      </rPr>
      <t>a</t>
    </r>
    <r>
      <rPr>
        <sz val="11"/>
        <color theme="1"/>
        <rFont val="Calibri"/>
        <family val="2"/>
      </rPr>
      <t>[B]</t>
    </r>
    <r>
      <rPr>
        <vertAlign val="superscript"/>
        <sz val="11"/>
        <color theme="1"/>
        <rFont val="Calibri"/>
        <family val="2"/>
      </rPr>
      <t>b</t>
    </r>
    <r>
      <rPr>
        <sz val="11"/>
        <color theme="1"/>
        <rFont val="Calibri"/>
        <family val="2"/>
      </rPr>
      <t xml:space="preserve"> for the reaction aA + bB ⇋ cC + dD)</t>
    </r>
  </si>
  <si>
    <t>newish</t>
  </si>
  <si>
    <r>
      <t>Calculate equilibrium constants (</t>
    </r>
    <r>
      <rPr>
        <i/>
        <sz val="11"/>
        <color theme="1"/>
        <rFont val="Calibri"/>
        <family val="2"/>
      </rPr>
      <t>K</t>
    </r>
    <r>
      <rPr>
        <i/>
        <vertAlign val="subscript"/>
        <sz val="11"/>
        <color theme="1"/>
        <rFont val="Calibri"/>
        <family val="2"/>
      </rPr>
      <t>c</t>
    </r>
    <r>
      <rPr>
        <sz val="11"/>
        <color theme="1"/>
        <rFont val="Calibri"/>
        <family val="2"/>
      </rPr>
      <t>) and the concentrations of reactants and products.  Assume [reactants]</t>
    </r>
    <r>
      <rPr>
        <vertAlign val="subscript"/>
        <sz val="11"/>
        <color theme="1"/>
        <rFont val="Calibri"/>
        <family val="2"/>
      </rPr>
      <t>initial</t>
    </r>
    <r>
      <rPr>
        <sz val="11"/>
        <color theme="1"/>
        <rFont val="Calibri"/>
        <family val="2"/>
      </rPr>
      <t xml:space="preserve"> = [reactants]</t>
    </r>
    <r>
      <rPr>
        <vertAlign val="subscript"/>
        <sz val="11"/>
        <color theme="1"/>
        <rFont val="Calibri"/>
        <family val="2"/>
      </rPr>
      <t>equilibrium</t>
    </r>
    <r>
      <rPr>
        <sz val="11"/>
        <color theme="1"/>
        <rFont val="Calibri"/>
        <family val="2"/>
      </rPr>
      <t xml:space="preserve"> when </t>
    </r>
    <r>
      <rPr>
        <i/>
        <sz val="11"/>
        <color theme="1"/>
        <rFont val="Calibri"/>
        <family val="2"/>
      </rPr>
      <t>K</t>
    </r>
    <r>
      <rPr>
        <i/>
        <vertAlign val="subscript"/>
        <sz val="11"/>
        <color theme="1"/>
        <rFont val="Calibri"/>
        <family val="2"/>
      </rPr>
      <t>c</t>
    </r>
    <r>
      <rPr>
        <sz val="11"/>
        <color theme="1"/>
        <rFont val="Calibri"/>
        <family val="2"/>
      </rPr>
      <t xml:space="preserve"> is very small and state assumption when used. (Formula: </t>
    </r>
    <r>
      <rPr>
        <i/>
        <sz val="11"/>
        <color theme="1"/>
        <rFont val="Calibri"/>
        <family val="2"/>
      </rPr>
      <t>K</t>
    </r>
    <r>
      <rPr>
        <i/>
        <vertAlign val="subscript"/>
        <sz val="11"/>
        <color theme="1"/>
        <rFont val="Calibri"/>
        <family val="2"/>
      </rPr>
      <t>c</t>
    </r>
    <r>
      <rPr>
        <sz val="11"/>
        <color theme="1"/>
        <rFont val="Calibri"/>
        <family val="2"/>
      </rPr>
      <t xml:space="preserve"> = [C]</t>
    </r>
    <r>
      <rPr>
        <vertAlign val="superscript"/>
        <sz val="11"/>
        <color theme="1"/>
        <rFont val="Calibri"/>
        <family val="2"/>
      </rPr>
      <t>c</t>
    </r>
    <r>
      <rPr>
        <sz val="11"/>
        <color theme="1"/>
        <rFont val="Calibri"/>
        <family val="2"/>
      </rPr>
      <t>[D]</t>
    </r>
    <r>
      <rPr>
        <vertAlign val="superscript"/>
        <sz val="11"/>
        <color theme="1"/>
        <rFont val="Calibri"/>
        <family val="2"/>
      </rPr>
      <t>d</t>
    </r>
    <r>
      <rPr>
        <sz val="11"/>
        <color theme="1"/>
        <rFont val="Calibri"/>
        <family val="2"/>
      </rPr>
      <t>/[A]</t>
    </r>
    <r>
      <rPr>
        <vertAlign val="superscript"/>
        <sz val="11"/>
        <color theme="1"/>
        <rFont val="Calibri"/>
        <family val="2"/>
      </rPr>
      <t>a</t>
    </r>
    <r>
      <rPr>
        <sz val="11"/>
        <color theme="1"/>
        <rFont val="Calibri"/>
        <family val="2"/>
      </rPr>
      <t>[B]</t>
    </r>
    <r>
      <rPr>
        <vertAlign val="superscript"/>
        <sz val="11"/>
        <color theme="1"/>
        <rFont val="Calibri"/>
        <family val="2"/>
      </rPr>
      <t>b</t>
    </r>
    <r>
      <rPr>
        <sz val="11"/>
        <color theme="1"/>
        <rFont val="Calibri"/>
        <family val="2"/>
      </rPr>
      <t xml:space="preserve"> for the reaction aA + bB ⇋ cC + dD)</t>
    </r>
  </si>
  <si>
    <t>3.1.3.4</t>
  </si>
  <si>
    <r>
      <t>Calculate solubility products (</t>
    </r>
    <r>
      <rPr>
        <i/>
        <sz val="11"/>
        <color theme="1"/>
        <rFont val="Calibri"/>
        <family val="2"/>
      </rPr>
      <t>K</t>
    </r>
    <r>
      <rPr>
        <i/>
        <vertAlign val="subscript"/>
        <sz val="11"/>
        <color theme="1"/>
        <rFont val="Calibri"/>
        <family val="2"/>
      </rPr>
      <t>sp</t>
    </r>
    <r>
      <rPr>
        <sz val="11"/>
        <color theme="1"/>
        <rFont val="Calibri"/>
        <family val="2"/>
      </rPr>
      <t xml:space="preserve">) and the concentrations of ions in aqueous solutions. (Formula: </t>
    </r>
    <r>
      <rPr>
        <i/>
        <sz val="11"/>
        <color theme="1"/>
        <rFont val="Calibri"/>
        <family val="2"/>
      </rPr>
      <t>K</t>
    </r>
    <r>
      <rPr>
        <i/>
        <vertAlign val="subscript"/>
        <sz val="11"/>
        <color theme="1"/>
        <rFont val="Calibri"/>
        <family val="2"/>
      </rPr>
      <t>sp</t>
    </r>
    <r>
      <rPr>
        <sz val="11"/>
        <color theme="1"/>
        <rFont val="Calibri"/>
        <family val="2"/>
      </rPr>
      <t xml:space="preserve"> = [C]</t>
    </r>
    <r>
      <rPr>
        <vertAlign val="superscript"/>
        <sz val="11"/>
        <color theme="1"/>
        <rFont val="Calibri"/>
        <family val="2"/>
      </rPr>
      <t>c</t>
    </r>
    <r>
      <rPr>
        <sz val="11"/>
        <color theme="1"/>
        <rFont val="Calibri"/>
        <family val="2"/>
      </rPr>
      <t xml:space="preserve"> [D]</t>
    </r>
    <r>
      <rPr>
        <vertAlign val="superscript"/>
        <sz val="11"/>
        <color theme="1"/>
        <rFont val="Calibri"/>
        <family val="2"/>
      </rPr>
      <t>d</t>
    </r>
    <r>
      <rPr>
        <sz val="11"/>
        <color theme="1"/>
        <rFont val="Calibri"/>
        <family val="2"/>
      </rPr>
      <t xml:space="preserve"> for the reaction aA(s) ⇋ cC(aq) + dD(aq))</t>
    </r>
  </si>
  <si>
    <r>
      <t>Infer shifts in equilibrium reactions using equilibrium constants (</t>
    </r>
    <r>
      <rPr>
        <i/>
        <sz val="11"/>
        <color theme="1"/>
        <rFont val="Calibri"/>
        <family val="2"/>
      </rPr>
      <t>K</t>
    </r>
    <r>
      <rPr>
        <i/>
        <vertAlign val="subscript"/>
        <sz val="11"/>
        <color theme="1"/>
        <rFont val="Calibri"/>
        <family val="2"/>
      </rPr>
      <t>c</t>
    </r>
    <r>
      <rPr>
        <sz val="11"/>
        <color theme="1"/>
        <rFont val="Calibri"/>
        <family val="2"/>
      </rPr>
      <t>) and reaction quotients (</t>
    </r>
    <r>
      <rPr>
        <i/>
        <sz val="11"/>
        <color theme="1"/>
        <rFont val="Calibri"/>
        <family val="2"/>
      </rPr>
      <t>Q</t>
    </r>
    <r>
      <rPr>
        <i/>
        <vertAlign val="subscript"/>
        <sz val="11"/>
        <color theme="1"/>
        <rFont val="Calibri"/>
        <family val="2"/>
      </rPr>
      <t>c</t>
    </r>
    <r>
      <rPr>
        <sz val="11"/>
        <color theme="1"/>
        <rFont val="Calibri"/>
        <family val="2"/>
      </rPr>
      <t>).</t>
    </r>
  </si>
  <si>
    <r>
      <t>Analyse data to determine reaction quotients (</t>
    </r>
    <r>
      <rPr>
        <i/>
        <sz val="11"/>
        <color theme="1"/>
        <rFont val="Calibri"/>
        <family val="2"/>
      </rPr>
      <t>Q</t>
    </r>
    <r>
      <rPr>
        <i/>
        <vertAlign val="subscript"/>
        <sz val="11"/>
        <color theme="1"/>
        <rFont val="Calibri"/>
        <family val="2"/>
      </rPr>
      <t>c</t>
    </r>
    <r>
      <rPr>
        <sz val="11"/>
        <color theme="1"/>
        <rFont val="Calibri"/>
        <family val="2"/>
      </rPr>
      <t>), equilibrium constants (</t>
    </r>
    <r>
      <rPr>
        <i/>
        <sz val="11"/>
        <color theme="1"/>
        <rFont val="Calibri"/>
        <family val="2"/>
      </rPr>
      <t>K</t>
    </r>
    <r>
      <rPr>
        <i/>
        <vertAlign val="subscript"/>
        <sz val="11"/>
        <color theme="1"/>
        <rFont val="Calibri"/>
        <family val="2"/>
      </rPr>
      <t>c</t>
    </r>
    <r>
      <rPr>
        <sz val="11"/>
        <color theme="1"/>
        <rFont val="Calibri"/>
        <family val="2"/>
      </rPr>
      <t>), the concentrations of reactants and products and the concentration of ions in aqueous solutions.</t>
    </r>
  </si>
  <si>
    <t>Properties of acids and bases</t>
  </si>
  <si>
    <t>Identify that acids are substances that can act as proton (hydrogen ion) donors.</t>
  </si>
  <si>
    <t>3.1.4.1</t>
  </si>
  <si>
    <t>Identify acids as monoprotic, diprotic or polyprotic.</t>
  </si>
  <si>
    <t>Identify hydrochloric, nitric and sulfuric acid as strong acids and group 1 hydroxides and barium hydroxide as strong bases.</t>
  </si>
  <si>
    <t>3.1.4.2</t>
  </si>
  <si>
    <t>Identify carboxylic and carbonic acids as weak acids and ammonia and amines as weak bases.</t>
  </si>
  <si>
    <t>Discriminate between the terms strong, weak, concentrated and dilute for acids and bases.</t>
  </si>
  <si>
    <t>Discriminate between strong and weak acids and bases in terms of the extent of dissociation, rate of reaction, pH and electrical conductivity.</t>
  </si>
  <si>
    <t>Analyse data to determine the strength, concentration, pH and electrical conductivity of acids and bases.</t>
  </si>
  <si>
    <r>
      <t>Identify that water is a weak electrolyte and the self-ionisation of water is represented by Kw = [H</t>
    </r>
    <r>
      <rPr>
        <vertAlign val="superscript"/>
        <sz val="11"/>
        <color theme="1"/>
        <rFont val="Calibri"/>
        <family val="2"/>
      </rPr>
      <t>+</t>
    </r>
    <r>
      <rPr>
        <sz val="11"/>
        <color theme="1"/>
        <rFont val="Calibri"/>
        <family val="2"/>
      </rPr>
      <t>][OH</t>
    </r>
    <r>
      <rPr>
        <vertAlign val="superscript"/>
        <sz val="11"/>
        <color theme="1"/>
        <rFont val="Calibri"/>
        <family val="2"/>
      </rPr>
      <t>–</t>
    </r>
    <r>
      <rPr>
        <sz val="11"/>
        <color theme="1"/>
        <rFont val="Calibri"/>
        <family val="2"/>
      </rPr>
      <t>].</t>
    </r>
  </si>
  <si>
    <t>3.1.5.1</t>
  </si>
  <si>
    <r>
      <t xml:space="preserve">Apply </t>
    </r>
    <r>
      <rPr>
        <i/>
        <sz val="11"/>
        <color theme="1"/>
        <rFont val="Calibri"/>
        <family val="2"/>
      </rPr>
      <t>K</t>
    </r>
    <r>
      <rPr>
        <i/>
        <vertAlign val="subscript"/>
        <sz val="11"/>
        <color theme="1"/>
        <rFont val="Calibri"/>
        <family val="2"/>
      </rPr>
      <t>w</t>
    </r>
    <r>
      <rPr>
        <sz val="11"/>
        <color theme="1"/>
        <rFont val="Calibri"/>
        <family val="2"/>
      </rPr>
      <t xml:space="preserve"> to calculate the concentration of hydrogen ions from the concentration of hydroxide ions in a solution.</t>
    </r>
  </si>
  <si>
    <r>
      <t>Calculate pH, hydrogen ion concentration [H</t>
    </r>
    <r>
      <rPr>
        <vertAlign val="superscript"/>
        <sz val="11"/>
        <color theme="1"/>
        <rFont val="Calibri"/>
        <family val="2"/>
      </rPr>
      <t>+</t>
    </r>
    <r>
      <rPr>
        <sz val="11"/>
        <color theme="1"/>
        <rFont val="Calibri"/>
        <family val="2"/>
      </rPr>
      <t>(aq)], pOH and hydroxide ion concentrations [OH</t>
    </r>
    <r>
      <rPr>
        <vertAlign val="superscript"/>
        <sz val="11"/>
        <color theme="1"/>
        <rFont val="Calibri"/>
        <family val="2"/>
      </rPr>
      <t>–</t>
    </r>
    <r>
      <rPr>
        <sz val="11"/>
        <color theme="1"/>
        <rFont val="Calibri"/>
        <family val="2"/>
      </rPr>
      <t>(aq)] for strong acids and bases. (Formula: pH = –log10 [H</t>
    </r>
    <r>
      <rPr>
        <vertAlign val="superscript"/>
        <sz val="11"/>
        <color theme="1"/>
        <rFont val="Calibri"/>
        <family val="2"/>
      </rPr>
      <t>+</t>
    </r>
    <r>
      <rPr>
        <sz val="11"/>
        <color theme="1"/>
        <rFont val="Calibri"/>
        <family val="2"/>
      </rPr>
      <t>] and pOH = –log10 [OH</t>
    </r>
    <r>
      <rPr>
        <vertAlign val="superscript"/>
        <sz val="11"/>
        <color theme="1"/>
        <rFont val="Calibri"/>
        <family val="2"/>
      </rPr>
      <t>−</t>
    </r>
    <r>
      <rPr>
        <sz val="11"/>
        <color theme="1"/>
        <rFont val="Calibri"/>
        <family val="2"/>
      </rPr>
      <t>])</t>
    </r>
  </si>
  <si>
    <t>3.1.5.2
3.1.5.3</t>
  </si>
  <si>
    <t>Describe acids and bases in equilibrium systems using the Brønsted-Lowry model.</t>
  </si>
  <si>
    <t>3.1.6.1</t>
  </si>
  <si>
    <t>Explain the Brønsted-Lowry model using chemical equations that illustrate the transfer of hydrogen ions (protons) between conjugate acid-base pairs.</t>
  </si>
  <si>
    <t>Identify that amphiprotic species can act as Brønsted-Lowry acid (or base).</t>
  </si>
  <si>
    <t>3.1.6.2</t>
  </si>
  <si>
    <t>Determine the formula of the conjugate acid (or base) of any Brønsted-Lowry base (or acid).</t>
  </si>
  <si>
    <t>3.1.6.3</t>
  </si>
  <si>
    <t>Identify that buffers are solutions that are conjugate in nature and resist a change in pH when a small amount of an acid or base is added. (Buffer calculations are not required.)</t>
  </si>
  <si>
    <t>3.1.6.4</t>
  </si>
  <si>
    <t>Apply Le Châtelier’s principle to explain how buffer solutions respond to the addition of hydrogen ions and hydroxide ions.</t>
  </si>
  <si>
    <t>Explain that the strength of acids is related to the degree of ionisation at equilibrium in aqueous solution.</t>
  </si>
  <si>
    <t>3.1.7.1</t>
  </si>
  <si>
    <r>
      <t>Identify that the strength of acids can be represented with chemical equations and equilibrium constants (</t>
    </r>
    <r>
      <rPr>
        <i/>
        <sz val="11"/>
        <color theme="1"/>
        <rFont val="Calibri"/>
        <family val="2"/>
      </rPr>
      <t>K</t>
    </r>
    <r>
      <rPr>
        <i/>
        <vertAlign val="subscript"/>
        <sz val="11"/>
        <color theme="1"/>
        <rFont val="Calibri"/>
        <family val="2"/>
      </rPr>
      <t>a</t>
    </r>
    <r>
      <rPr>
        <sz val="11"/>
        <color theme="1"/>
        <rFont val="Calibri"/>
        <family val="2"/>
      </rPr>
      <t>).</t>
    </r>
  </si>
  <si>
    <r>
      <t>Determine the expression for the dissociation constant for weak acids (</t>
    </r>
    <r>
      <rPr>
        <i/>
        <sz val="11"/>
        <color theme="1"/>
        <rFont val="Calibri"/>
        <family val="2"/>
      </rPr>
      <t>K</t>
    </r>
    <r>
      <rPr>
        <i/>
        <vertAlign val="subscript"/>
        <sz val="11"/>
        <color theme="1"/>
        <rFont val="Calibri"/>
        <family val="2"/>
      </rPr>
      <t>a</t>
    </r>
    <r>
      <rPr>
        <sz val="11"/>
        <color theme="1"/>
        <rFont val="Calibri"/>
        <family val="2"/>
      </rPr>
      <t>) and weak bases (</t>
    </r>
    <r>
      <rPr>
        <i/>
        <sz val="11"/>
        <color theme="1"/>
        <rFont val="Calibri"/>
        <family val="2"/>
      </rPr>
      <t>K</t>
    </r>
    <r>
      <rPr>
        <i/>
        <vertAlign val="subscript"/>
        <sz val="11"/>
        <color theme="1"/>
        <rFont val="Calibri"/>
        <family val="2"/>
      </rPr>
      <t>b</t>
    </r>
    <r>
      <rPr>
        <sz val="11"/>
        <color theme="1"/>
        <rFont val="Calibri"/>
        <family val="2"/>
      </rPr>
      <t>) from balanced chemical equations.</t>
    </r>
  </si>
  <si>
    <t>3.1.7.2</t>
  </si>
  <si>
    <r>
      <t>Calculate dissociation constants (</t>
    </r>
    <r>
      <rPr>
        <i/>
        <sz val="11"/>
        <color theme="1"/>
        <rFont val="Calibri"/>
        <family val="2"/>
      </rPr>
      <t>K</t>
    </r>
    <r>
      <rPr>
        <i/>
        <vertAlign val="subscript"/>
        <sz val="11"/>
        <color theme="1"/>
        <rFont val="Calibri"/>
        <family val="2"/>
      </rPr>
      <t>a</t>
    </r>
    <r>
      <rPr>
        <sz val="11"/>
        <color theme="1"/>
        <rFont val="Calibri"/>
        <family val="2"/>
      </rPr>
      <t xml:space="preserve">, </t>
    </r>
    <r>
      <rPr>
        <i/>
        <sz val="11"/>
        <color theme="1"/>
        <rFont val="Calibri"/>
        <family val="2"/>
      </rPr>
      <t>K</t>
    </r>
    <r>
      <rPr>
        <i/>
        <vertAlign val="subscript"/>
        <sz val="11"/>
        <color theme="1"/>
        <rFont val="Calibri"/>
        <family val="2"/>
      </rPr>
      <t>b</t>
    </r>
    <r>
      <rPr>
        <sz val="11"/>
        <color theme="1"/>
        <rFont val="Calibri"/>
        <family val="2"/>
      </rPr>
      <t xml:space="preserve">, and </t>
    </r>
    <r>
      <rPr>
        <i/>
        <sz val="11"/>
        <color theme="1"/>
        <rFont val="Calibri"/>
        <family val="2"/>
      </rPr>
      <t>K</t>
    </r>
    <r>
      <rPr>
        <i/>
        <vertAlign val="subscript"/>
        <sz val="11"/>
        <color theme="1"/>
        <rFont val="Calibri"/>
        <family val="2"/>
      </rPr>
      <t>w</t>
    </r>
    <r>
      <rPr>
        <sz val="11"/>
        <color theme="1"/>
        <rFont val="Calibri"/>
        <family val="2"/>
      </rPr>
      <t>), p</t>
    </r>
    <r>
      <rPr>
        <i/>
        <sz val="11"/>
        <color theme="1"/>
        <rFont val="Calibri"/>
        <family val="2"/>
      </rPr>
      <t>K</t>
    </r>
    <r>
      <rPr>
        <i/>
        <vertAlign val="subscript"/>
        <sz val="11"/>
        <color theme="1"/>
        <rFont val="Calibri"/>
        <family val="2"/>
      </rPr>
      <t>a</t>
    </r>
    <r>
      <rPr>
        <sz val="11"/>
        <color theme="1"/>
        <rFont val="Calibri"/>
        <family val="2"/>
      </rPr>
      <t>, p</t>
    </r>
    <r>
      <rPr>
        <i/>
        <sz val="11"/>
        <color theme="1"/>
        <rFont val="Calibri"/>
        <family val="2"/>
      </rPr>
      <t>K</t>
    </r>
    <r>
      <rPr>
        <i/>
        <vertAlign val="subscript"/>
        <sz val="11"/>
        <color theme="1"/>
        <rFont val="Calibri"/>
        <family val="2"/>
      </rPr>
      <t>b</t>
    </r>
    <r>
      <rPr>
        <sz val="11"/>
        <color theme="1"/>
        <rFont val="Calibri"/>
        <family val="2"/>
      </rPr>
      <t xml:space="preserve">, and the concentrations of reactants and products. (Formula: </t>
    </r>
    <r>
      <rPr>
        <i/>
        <sz val="11"/>
        <color theme="1"/>
        <rFont val="Calibri"/>
        <family val="2"/>
      </rPr>
      <t>K</t>
    </r>
    <r>
      <rPr>
        <i/>
        <vertAlign val="subscript"/>
        <sz val="11"/>
        <color theme="1"/>
        <rFont val="Calibri"/>
        <family val="2"/>
      </rPr>
      <t>a</t>
    </r>
    <r>
      <rPr>
        <sz val="11"/>
        <color theme="1"/>
        <rFont val="Calibri"/>
        <family val="2"/>
      </rPr>
      <t xml:space="preserve"> = [H</t>
    </r>
    <r>
      <rPr>
        <vertAlign val="subscript"/>
        <sz val="11"/>
        <color theme="1"/>
        <rFont val="Calibri"/>
        <family val="2"/>
      </rPr>
      <t>3</t>
    </r>
    <r>
      <rPr>
        <sz val="11"/>
        <color theme="1"/>
        <rFont val="Calibri"/>
        <family val="2"/>
      </rPr>
      <t>O</t>
    </r>
    <r>
      <rPr>
        <vertAlign val="superscript"/>
        <sz val="11"/>
        <color theme="1"/>
        <rFont val="Calibri"/>
        <family val="2"/>
      </rPr>
      <t>+</t>
    </r>
    <r>
      <rPr>
        <sz val="11"/>
        <color theme="1"/>
        <rFont val="Calibri"/>
        <family val="2"/>
      </rPr>
      <t>][A</t>
    </r>
    <r>
      <rPr>
        <vertAlign val="superscript"/>
        <sz val="11"/>
        <color theme="1"/>
        <rFont val="Calibri"/>
        <family val="2"/>
      </rPr>
      <t>−</t>
    </r>
    <r>
      <rPr>
        <sz val="11"/>
        <color theme="1"/>
        <rFont val="Calibri"/>
        <family val="2"/>
      </rPr>
      <t xml:space="preserve">]/[HA] ; </t>
    </r>
    <r>
      <rPr>
        <i/>
        <sz val="11"/>
        <color theme="1"/>
        <rFont val="Calibri"/>
        <family val="2"/>
      </rPr>
      <t>K</t>
    </r>
    <r>
      <rPr>
        <i/>
        <vertAlign val="subscript"/>
        <sz val="11"/>
        <color theme="1"/>
        <rFont val="Calibri"/>
        <family val="2"/>
      </rPr>
      <t>b</t>
    </r>
    <r>
      <rPr>
        <sz val="11"/>
        <color theme="1"/>
        <rFont val="Calibri"/>
        <family val="2"/>
      </rPr>
      <t xml:space="preserve"> = [BH</t>
    </r>
    <r>
      <rPr>
        <vertAlign val="superscript"/>
        <sz val="11"/>
        <color theme="1"/>
        <rFont val="Calibri"/>
        <family val="2"/>
      </rPr>
      <t>+</t>
    </r>
    <r>
      <rPr>
        <sz val="11"/>
        <color theme="1"/>
        <rFont val="Calibri"/>
        <family val="2"/>
      </rPr>
      <t>][OH</t>
    </r>
    <r>
      <rPr>
        <vertAlign val="superscript"/>
        <sz val="11"/>
        <color theme="1"/>
        <rFont val="Calibri"/>
        <family val="2"/>
      </rPr>
      <t>−</t>
    </r>
    <r>
      <rPr>
        <sz val="11"/>
        <color theme="1"/>
        <rFont val="Calibri"/>
        <family val="2"/>
      </rPr>
      <t xml:space="preserve">]/[B]; </t>
    </r>
    <r>
      <rPr>
        <i/>
        <sz val="11"/>
        <color theme="1"/>
        <rFont val="Calibri"/>
        <family val="2"/>
      </rPr>
      <t>K</t>
    </r>
    <r>
      <rPr>
        <i/>
        <vertAlign val="subscript"/>
        <sz val="11"/>
        <color theme="1"/>
        <rFont val="Calibri"/>
        <family val="2"/>
      </rPr>
      <t>w</t>
    </r>
    <r>
      <rPr>
        <sz val="11"/>
        <color theme="1"/>
        <rFont val="Calibri"/>
        <family val="2"/>
      </rPr>
      <t xml:space="preserve"> = </t>
    </r>
    <r>
      <rPr>
        <i/>
        <sz val="11"/>
        <color theme="1"/>
        <rFont val="Calibri"/>
        <family val="2"/>
      </rPr>
      <t>K</t>
    </r>
    <r>
      <rPr>
        <i/>
        <vertAlign val="subscript"/>
        <sz val="11"/>
        <color theme="1"/>
        <rFont val="Calibri"/>
        <family val="2"/>
      </rPr>
      <t>a</t>
    </r>
    <r>
      <rPr>
        <sz val="11"/>
        <color theme="1"/>
        <rFont val="Calibri"/>
        <family val="2"/>
      </rPr>
      <t xml:space="preserve"> × </t>
    </r>
    <r>
      <rPr>
        <i/>
        <sz val="11"/>
        <color theme="1"/>
        <rFont val="Calibri"/>
        <family val="2"/>
      </rPr>
      <t>K</t>
    </r>
    <r>
      <rPr>
        <i/>
        <vertAlign val="subscript"/>
        <sz val="11"/>
        <color theme="1"/>
        <rFont val="Calibri"/>
        <family val="2"/>
      </rPr>
      <t>b</t>
    </r>
    <r>
      <rPr>
        <sz val="11"/>
        <color theme="1"/>
        <rFont val="Calibri"/>
        <family val="2"/>
      </rPr>
      <t>)</t>
    </r>
  </si>
  <si>
    <t>3.1.7.4</t>
  </si>
  <si>
    <t>Analyse data to compare the relative strengths of acids and bases.</t>
  </si>
  <si>
    <t>3.1.7.3</t>
  </si>
  <si>
    <t>Acid-base indicators</t>
  </si>
  <si>
    <r>
      <t>Identify that acid-base indicators are a weak acid or a weak base where the conjugate acid-base pair have different colours and can be represented by HIn(aq) ⇋ H</t>
    </r>
    <r>
      <rPr>
        <vertAlign val="superscript"/>
        <sz val="11"/>
        <color theme="1"/>
        <rFont val="Calibri"/>
        <family val="2"/>
      </rPr>
      <t>+</t>
    </r>
    <r>
      <rPr>
        <sz val="11"/>
        <color theme="1"/>
        <rFont val="Calibri"/>
        <family val="2"/>
      </rPr>
      <t>(aq) + In</t>
    </r>
    <r>
      <rPr>
        <vertAlign val="superscript"/>
        <sz val="11"/>
        <color theme="1"/>
        <rFont val="Calibri"/>
        <family val="2"/>
      </rPr>
      <t>−</t>
    </r>
    <r>
      <rPr>
        <sz val="11"/>
        <color theme="1"/>
        <rFont val="Calibri"/>
        <family val="2"/>
      </rPr>
      <t xml:space="preserve">(aq) </t>
    </r>
    <r>
      <rPr>
        <i/>
        <sz val="11"/>
        <color theme="1"/>
        <rFont val="Calibri"/>
        <family val="2"/>
      </rPr>
      <t>or</t>
    </r>
    <r>
      <rPr>
        <sz val="11"/>
        <color theme="1"/>
        <rFont val="Calibri"/>
        <family val="2"/>
      </rPr>
      <t xml:space="preserve"> BOH(aq) ⇋ B</t>
    </r>
    <r>
      <rPr>
        <vertAlign val="superscript"/>
        <sz val="11"/>
        <color theme="1"/>
        <rFont val="Calibri"/>
        <family val="2"/>
      </rPr>
      <t>+</t>
    </r>
    <r>
      <rPr>
        <sz val="11"/>
        <color theme="1"/>
        <rFont val="Calibri"/>
        <family val="2"/>
      </rPr>
      <t>(aq) + OH</t>
    </r>
    <r>
      <rPr>
        <vertAlign val="superscript"/>
        <sz val="11"/>
        <color theme="1"/>
        <rFont val="Calibri"/>
        <family val="2"/>
      </rPr>
      <t>−</t>
    </r>
    <r>
      <rPr>
        <sz val="11"/>
        <color theme="1"/>
        <rFont val="Calibri"/>
        <family val="2"/>
      </rPr>
      <t>(aq).</t>
    </r>
  </si>
  <si>
    <t>3.1.8.1</t>
  </si>
  <si>
    <r>
      <t>Identify that indicators change colour when pH = pK</t>
    </r>
    <r>
      <rPr>
        <vertAlign val="subscript"/>
        <sz val="11"/>
        <color theme="1"/>
        <rFont val="Calibri"/>
        <family val="2"/>
      </rPr>
      <t>a</t>
    </r>
    <r>
      <rPr>
        <sz val="11"/>
        <color theme="1"/>
        <rFont val="Calibri"/>
        <family val="2"/>
      </rPr>
      <t>.</t>
    </r>
  </si>
  <si>
    <t>3.1.8.3</t>
  </si>
  <si>
    <r>
      <t>Explain the relationship between the pH range, the end point and the pK</t>
    </r>
    <r>
      <rPr>
        <vertAlign val="subscript"/>
        <sz val="11"/>
        <color theme="1"/>
        <rFont val="Calibri"/>
        <family val="2"/>
      </rPr>
      <t>a</t>
    </r>
    <r>
      <rPr>
        <sz val="11"/>
        <color theme="1"/>
        <rFont val="Calibri"/>
        <family val="2"/>
      </rPr>
      <t xml:space="preserve"> value of an acid-base indicator.</t>
    </r>
  </si>
  <si>
    <t>3.1.8.2
3.1.8.3</t>
  </si>
  <si>
    <r>
      <t>Analyse data to determine an appropriate indicator given the equivalence point of the titration and the pH range of the indicator (assuming indicators change colour over a range of pK</t>
    </r>
    <r>
      <rPr>
        <vertAlign val="subscript"/>
        <sz val="11"/>
        <color theme="1"/>
        <rFont val="Calibri"/>
        <family val="2"/>
      </rPr>
      <t>a</t>
    </r>
    <r>
      <rPr>
        <sz val="11"/>
        <color theme="1"/>
        <rFont val="Calibri"/>
        <family val="2"/>
      </rPr>
      <t xml:space="preserve"> ± 1).</t>
    </r>
  </si>
  <si>
    <t>Volumetric analysis</t>
  </si>
  <si>
    <t>Discriminate between the terms end point and equivalence point.</t>
  </si>
  <si>
    <t>3.1.9.1</t>
  </si>
  <si>
    <t>Sketch the general shapes of conductometric and acid-base titration curves involving strong and weak acids and bases. (Titration of weak acids to weak bases is not required.)</t>
  </si>
  <si>
    <t>NEW +
3.1.9.3</t>
  </si>
  <si>
    <r>
      <t>Interpret acid-base titration curves to determine the intercept with pH axis, equivalence point, buffer region and points where pK</t>
    </r>
    <r>
      <rPr>
        <vertAlign val="subscript"/>
        <sz val="11"/>
        <color theme="1"/>
        <rFont val="Calibri"/>
        <family val="2"/>
      </rPr>
      <t>a</t>
    </r>
    <r>
      <rPr>
        <sz val="11"/>
        <color theme="1"/>
        <rFont val="Calibri"/>
        <family val="2"/>
      </rPr>
      <t xml:space="preserve"> = pH or pK</t>
    </r>
    <r>
      <rPr>
        <vertAlign val="subscript"/>
        <sz val="11"/>
        <color theme="1"/>
        <rFont val="Calibri"/>
        <family val="2"/>
      </rPr>
      <t>b</t>
    </r>
    <r>
      <rPr>
        <sz val="11"/>
        <color theme="1"/>
        <rFont val="Calibri"/>
        <family val="2"/>
      </rPr>
      <t xml:space="preserve"> = pOH.</t>
    </r>
  </si>
  <si>
    <t>3.1.9.3</t>
  </si>
  <si>
    <t>Interpret conductometric titration curves to determine the intercept with conductivity axis, equivalence point and volume of titrant.</t>
  </si>
  <si>
    <t>NEW</t>
  </si>
  <si>
    <t>Analyse volumetric data, including solubility, conductometric and acid-base titration curves, to determine moles, mass, volume and concentration.</t>
  </si>
  <si>
    <t>NEW +
3.1.9.4</t>
  </si>
  <si>
    <t>Analyse titration curves to calculate the concentration of a solution with reference to a standard solution.</t>
  </si>
  <si>
    <t>3.1.9.4</t>
  </si>
  <si>
    <t>Topic 2:  Oxidation and Reduction</t>
  </si>
  <si>
    <t>Redox reactions</t>
  </si>
  <si>
    <t>Identify that displacement reactions of metals, combustion, corrosion and electrochemical processes, can be modelled as redox reactions involving oxidation of one substance and reduction of another substance.</t>
  </si>
  <si>
    <t>3.2.1.1</t>
  </si>
  <si>
    <t>Determine the species oxidised and reduced, and the oxidising agent and reducing agent, in redox reactions.</t>
  </si>
  <si>
    <t>3.2.1.3</t>
  </si>
  <si>
    <t>Explain that oxidation can be modelled as the loss of electrons from a chemical species, and reduction can be modelled as the gain of electrons by a chemical species; these processes can be represented using balanced half-equations and redox equations (acidic conditions only).</t>
  </si>
  <si>
    <t>3.2.1.4</t>
  </si>
  <si>
    <t>Determine the oxidation state (represented with the sign given before the number) of an atom in an ion or compound, e.g. +2.</t>
  </si>
  <si>
    <t>3.2.1.5</t>
  </si>
  <si>
    <t>Apply oxidation numbers (represented as roman numerals) to name transition metal compounds.</t>
  </si>
  <si>
    <t>Apply half-equations and oxidation numbers to balance redox equations and to discriminate between the species oxidised and reduced, and the oxidising agent and reducing agent.</t>
  </si>
  <si>
    <t>Analyse data, including displacement reactions of metals, combustion, corrosion and electrochemical processes to determine redox reactions.</t>
  </si>
  <si>
    <t>Electrochemical cells</t>
  </si>
  <si>
    <t>Explain that electrochemical cells, including galvanic and electrolytic cells, consist of oxidation and reduction half-reactions connected via an external circuit that allows electrons to move from the anode (oxidation reaction) to the cathode (reduction reaction).</t>
  </si>
  <si>
    <t>3.2.2.1</t>
  </si>
  <si>
    <t>Discriminate between a galvanic and an electrolytic cell.</t>
  </si>
  <si>
    <t>Galvanic cells</t>
  </si>
  <si>
    <t>Identify that galvanic cells generate an electrical potential difference from a spontaneous redox reaction.</t>
  </si>
  <si>
    <t>3.2.3.1</t>
  </si>
  <si>
    <t>Explain that galvanic cells can be represented as cell diagrams, including anode and cathode half-equations.</t>
  </si>
  <si>
    <t>Explain that oxidation occurs at the negative electrode (anode) and reduction occurs at the positive electrode (cathode).</t>
  </si>
  <si>
    <t>3.2.3.2</t>
  </si>
  <si>
    <t>Explain that two half-cells can be connected by a salt bridge to create a galvanic cell, e.g. Mg, Zn, Fe and Cu and their solutions of ions.</t>
  </si>
  <si>
    <t>Identify the essential components of a galvanic cell, including the oxidation and reduction half-cells, the positive and negative electrodes and their solutions of their ions, the flow of electrons and the movement of ions, and the salt bridge.</t>
  </si>
  <si>
    <t>3.2.3.3</t>
  </si>
  <si>
    <t>Sketch a galvanic cell and label the essential components.</t>
  </si>
  <si>
    <t>Standard electrode potential</t>
  </si>
  <si>
    <t>Describe the standard hydrogen electrode.</t>
  </si>
  <si>
    <r>
      <t xml:space="preserve">Explain the term </t>
    </r>
    <r>
      <rPr>
        <i/>
        <sz val="11"/>
        <color theme="1"/>
        <rFont val="Calibri"/>
        <family val="2"/>
      </rPr>
      <t>standard electrode (reduction) potential</t>
    </r>
    <r>
      <rPr>
        <sz val="11"/>
        <color theme="1"/>
        <rFont val="Calibri"/>
        <family val="2"/>
      </rPr>
      <t xml:space="preserve">, </t>
    </r>
    <r>
      <rPr>
        <i/>
        <sz val="11"/>
        <color theme="1"/>
        <rFont val="Calibri"/>
        <family val="2"/>
      </rPr>
      <t>E</t>
    </r>
    <r>
      <rPr>
        <vertAlign val="superscript"/>
        <sz val="11"/>
        <color theme="1"/>
        <rFont val="Calibri"/>
        <family val="2"/>
      </rPr>
      <t>θ</t>
    </r>
    <r>
      <rPr>
        <sz val="11"/>
        <color theme="1"/>
        <rFont val="Calibri"/>
        <family val="2"/>
      </rPr>
      <t>.</t>
    </r>
  </si>
  <si>
    <r>
      <t xml:space="preserve">Identify the limitations associated with standard electrode (reduction) potentials, </t>
    </r>
    <r>
      <rPr>
        <i/>
        <sz val="11"/>
        <color theme="1"/>
        <rFont val="Calibri"/>
        <family val="2"/>
      </rPr>
      <t>E</t>
    </r>
    <r>
      <rPr>
        <vertAlign val="superscript"/>
        <sz val="11"/>
        <color theme="1"/>
        <rFont val="Calibri"/>
        <family val="2"/>
      </rPr>
      <t>θ</t>
    </r>
    <r>
      <rPr>
        <sz val="11"/>
        <color theme="1"/>
        <rFont val="Calibri"/>
        <family val="2"/>
      </rPr>
      <t>.</t>
    </r>
  </si>
  <si>
    <t>3.2.4.3</t>
  </si>
  <si>
    <r>
      <t xml:space="preserve">Calculate cell potential, </t>
    </r>
    <r>
      <rPr>
        <i/>
        <sz val="11"/>
        <color theme="1"/>
        <rFont val="Calibri"/>
        <family val="2"/>
      </rPr>
      <t>E</t>
    </r>
    <r>
      <rPr>
        <vertAlign val="subscript"/>
        <sz val="11"/>
        <color theme="1"/>
        <rFont val="Calibri"/>
        <family val="2"/>
      </rPr>
      <t>cell</t>
    </r>
    <r>
      <rPr>
        <vertAlign val="superscript"/>
        <sz val="11"/>
        <color theme="1"/>
        <rFont val="Calibri"/>
        <family val="2"/>
      </rPr>
      <t>θ</t>
    </r>
    <r>
      <rPr>
        <sz val="11"/>
        <color theme="1"/>
        <rFont val="Calibri"/>
        <family val="2"/>
      </rPr>
      <t xml:space="preserve"> (Formula: </t>
    </r>
    <r>
      <rPr>
        <i/>
        <sz val="11"/>
        <color theme="1"/>
        <rFont val="Calibri"/>
        <family val="2"/>
      </rPr>
      <t>E</t>
    </r>
    <r>
      <rPr>
        <vertAlign val="subscript"/>
        <sz val="11"/>
        <color theme="1"/>
        <rFont val="Calibri"/>
        <family val="2"/>
      </rPr>
      <t>cell</t>
    </r>
    <r>
      <rPr>
        <vertAlign val="superscript"/>
        <sz val="11"/>
        <color theme="1"/>
        <rFont val="Calibri"/>
        <family val="2"/>
      </rPr>
      <t>θ</t>
    </r>
    <r>
      <rPr>
        <sz val="11"/>
        <color theme="1"/>
        <rFont val="Calibri"/>
        <family val="2"/>
      </rPr>
      <t xml:space="preserve"> = </t>
    </r>
    <r>
      <rPr>
        <i/>
        <sz val="11"/>
        <color theme="1"/>
        <rFont val="Calibri"/>
        <family val="2"/>
      </rPr>
      <t>E</t>
    </r>
    <r>
      <rPr>
        <vertAlign val="subscript"/>
        <sz val="11"/>
        <color theme="1"/>
        <rFont val="Calibri"/>
        <family val="2"/>
      </rPr>
      <t>reduction half−cell</t>
    </r>
    <r>
      <rPr>
        <vertAlign val="superscript"/>
        <sz val="11"/>
        <color theme="1"/>
        <rFont val="Calibri"/>
        <family val="2"/>
      </rPr>
      <t>θ</t>
    </r>
    <r>
      <rPr>
        <sz val="11"/>
        <color theme="1"/>
        <rFont val="Calibri"/>
        <family val="2"/>
      </rPr>
      <t xml:space="preserve"> − </t>
    </r>
    <r>
      <rPr>
        <i/>
        <sz val="11"/>
        <color theme="1"/>
        <rFont val="Calibri"/>
        <family val="2"/>
      </rPr>
      <t>E</t>
    </r>
    <r>
      <rPr>
        <vertAlign val="subscript"/>
        <sz val="11"/>
        <color theme="1"/>
        <rFont val="Calibri"/>
        <family val="2"/>
      </rPr>
      <t>oxidation half−cell</t>
    </r>
    <r>
      <rPr>
        <vertAlign val="superscript"/>
        <sz val="11"/>
        <color theme="1"/>
        <rFont val="Calibri"/>
        <family val="2"/>
      </rPr>
      <t>θ</t>
    </r>
    <r>
      <rPr>
        <sz val="11"/>
        <color theme="1"/>
        <rFont val="Calibri"/>
        <family val="2"/>
      </rPr>
      <t>)</t>
    </r>
  </si>
  <si>
    <t>3.2.4.4</t>
  </si>
  <si>
    <t>Apply standard electrode potentials to determine the relative strength of oxidising and reducing agents.</t>
  </si>
  <si>
    <t>3.2.4.1</t>
  </si>
  <si>
    <t>Analyse data, including standard electrode potentials, to make predictions about the spontaneity of a reaction and to compare electrochemical cells.</t>
  </si>
  <si>
    <t>Electrolytic cells</t>
  </si>
  <si>
    <t>Identify that electrolytic cells use an external electrical potential difference to provide the energy to allow a non-spontaneous redox reaction to occur.</t>
  </si>
  <si>
    <t>3.2.5.1</t>
  </si>
  <si>
    <t>Identify the essential components of an electrolytic cell, including source of electric current and conductors, positive and negative electrodes, and the electrolyte.</t>
  </si>
  <si>
    <t>3.2.5.3</t>
  </si>
  <si>
    <t>State the factors that affect the products in electrolysis.</t>
  </si>
  <si>
    <t>Determine the products of the electrolysis of a molten salt.</t>
  </si>
  <si>
    <t>3.2.5.2</t>
  </si>
  <si>
    <t>Explain the products of the electrolysis of aqueous solutions, e.g. dilute and concentration sodium chloride(aq) and copper sulfate(aq).</t>
  </si>
  <si>
    <t>Describe that electrolytic cells can be used in small-scale and industrial situations, including metal plating and the purification of copper.</t>
  </si>
  <si>
    <r>
      <t>Calculate moles of electrons, current, time, mass of substance or volume of gas produced or used during electrolysis. 
(Formula: Q = n(e</t>
    </r>
    <r>
      <rPr>
        <vertAlign val="superscript"/>
        <sz val="11"/>
        <color theme="1"/>
        <rFont val="Calibri"/>
        <family val="2"/>
      </rPr>
      <t>−</t>
    </r>
    <r>
      <rPr>
        <sz val="11"/>
        <color theme="1"/>
        <rFont val="Calibri"/>
        <family val="2"/>
      </rPr>
      <t>) × F)</t>
    </r>
  </si>
  <si>
    <t>Analyse data to determine the relative amounts of product produced at each electrode in electrolysis.</t>
  </si>
  <si>
    <t>4. Structure, Synthesis and Design</t>
  </si>
  <si>
    <t>Topic 1:  Properties and Structure of Organic Materials</t>
  </si>
  <si>
    <t>Structure of organic compounds</t>
  </si>
  <si>
    <t>Identify organic molecules including alkanes, alkenes, alkynes, alcohols, aldehydes, ketones, carboxylic acids, haloalkanes, esters, amines and amides.</t>
  </si>
  <si>
    <t>4.1.1.1</t>
  </si>
  <si>
    <t>Discriminate between class and functional groups, e.g. for OH, hydroxyl is the functional group and alcohol is the class.</t>
  </si>
  <si>
    <t>NEW?</t>
  </si>
  <si>
    <t>Describe the features of a homologous series.</t>
  </si>
  <si>
    <t>4.1.2.2?</t>
  </si>
  <si>
    <t>Discriminate between saturated and unsaturated organic molecules.</t>
  </si>
  <si>
    <t>4.1.3.2?</t>
  </si>
  <si>
    <t>Discriminate between empirical, molecular and structural formulas.</t>
  </si>
  <si>
    <t>Determine molecular and structural formulas for organic compounds, up to C10, including simple methyl and ethyl branched chains, for
- alkanes, alkenes and alkynes
- alcohols (primary, secondary and tertiary)
- aldehydes and ketones
- carboxylic acids
- amines and amides
- haloalkanes (primary, secondary and tertiary)
- esters.</t>
  </si>
  <si>
    <t>4.1.1.2
4.1.3.2</t>
  </si>
  <si>
    <t>Apply IUPAC rules in the nomenclature of organic compounds, up to C10, including simple methyl and ethyl branched chains, for
- alkanes, alkenes and alkynes
- alcohols (primary, secondary and tertiary)
- aldehydes and ketones
- carboxylic acids
- haloalkanes (primary, secondary and tertiary)
- esters.</t>
  </si>
  <si>
    <t>4.1.1.2</t>
  </si>
  <si>
    <t>Identify structural and stereoisomers, including geometrical (cis and trans) and optical isomers.</t>
  </si>
  <si>
    <t>4.1.1.3</t>
  </si>
  <si>
    <r>
      <t>Deduce the structural formula of geometrical (cis and trans) isomers (non-cyclic alkenes), of and optical isomers and isomers of the non-cyclic alkanes up to C</t>
    </r>
    <r>
      <rPr>
        <vertAlign val="subscript"/>
        <sz val="11"/>
        <color theme="1"/>
        <rFont val="Calibri"/>
        <family val="2"/>
      </rPr>
      <t>6</t>
    </r>
    <r>
      <rPr>
        <sz val="11"/>
        <color theme="1"/>
        <rFont val="Calibri"/>
        <family val="2"/>
      </rPr>
      <t>.</t>
    </r>
  </si>
  <si>
    <t>4.1.1.4</t>
  </si>
  <si>
    <r>
      <t>Sketch the structural formula and apply IUPAC rules in the nomenclature for isomers of alkanes (non-cyclic) and alkenes (straight chain) up to C</t>
    </r>
    <r>
      <rPr>
        <vertAlign val="subscript"/>
        <sz val="11"/>
        <color theme="1"/>
        <rFont val="Calibri"/>
        <family val="2"/>
      </rPr>
      <t>6</t>
    </r>
    <r>
      <rPr>
        <sz val="11"/>
        <color theme="1"/>
        <rFont val="Calibri"/>
        <family val="2"/>
      </rPr>
      <t>, and for the geometrical (</t>
    </r>
    <r>
      <rPr>
        <i/>
        <sz val="11"/>
        <color theme="1"/>
        <rFont val="Calibri"/>
        <family val="2"/>
      </rPr>
      <t>cis</t>
    </r>
    <r>
      <rPr>
        <sz val="11"/>
        <color theme="1"/>
        <rFont val="Calibri"/>
        <family val="2"/>
      </rPr>
      <t xml:space="preserve"> and </t>
    </r>
    <r>
      <rPr>
        <i/>
        <sz val="11"/>
        <color theme="1"/>
        <rFont val="Calibri"/>
        <family val="2"/>
      </rPr>
      <t>trans</t>
    </r>
    <r>
      <rPr>
        <sz val="11"/>
        <color theme="1"/>
        <rFont val="Calibri"/>
        <family val="2"/>
      </rPr>
      <t>) isomers of simple alkenes (non-cyclic).</t>
    </r>
  </si>
  <si>
    <t>Determine the structural formula of optical isomers for simple organic compounds.</t>
  </si>
  <si>
    <t>Identify chiral carbon atoms.</t>
  </si>
  <si>
    <t>Analyse data to determine the structural, molecular and empirical formula of organic compound and the percentage composition of elements in organic compounds.</t>
  </si>
  <si>
    <t>NEW
(Unit 2?)</t>
  </si>
  <si>
    <t xml:space="preserve">Physical properties and trends </t>
  </si>
  <si>
    <t>Explain the trends (melting point, boiling point, volatility, solubility in water and organic solvents) within and between homologous series (alkanes, alkenes, alcohols, carboxylic acids) in term of intermolecular and intramolecular bonding, e.g. dispersion forces, dipole-dipole interactions and hydrogen bonds.</t>
  </si>
  <si>
    <t>4.1.2.1
4.1.2.2
4.1.2.3</t>
  </si>
  <si>
    <t>Analyse data to determine the physical properties of an homologous series, trends in melting point, boiling point, volatility and the solubility alkanes, alkenes, alcohols and carboxylic acids.</t>
  </si>
  <si>
    <t>Organic reactions and reaction pathways</t>
  </si>
  <si>
    <t>Identify that an organic compound displays characteristic chemical properties and undergoes specific reactions based on the functional group present.</t>
  </si>
  <si>
    <t>4.1.3.1</t>
  </si>
  <si>
    <r>
      <t>Determine, using equations, the reaction of
- alkanes with halogens (X</t>
    </r>
    <r>
      <rPr>
        <vertAlign val="subscript"/>
        <sz val="11"/>
        <color theme="1"/>
        <rFont val="Calibri"/>
        <family val="2"/>
      </rPr>
      <t>2</t>
    </r>
    <r>
      <rPr>
        <sz val="11"/>
        <color theme="1"/>
        <rFont val="Calibri"/>
        <family val="2"/>
      </rPr>
      <t>)
- haloalkanes with halogens (X</t>
    </r>
    <r>
      <rPr>
        <vertAlign val="subscript"/>
        <sz val="11"/>
        <color theme="1"/>
        <rFont val="Calibri"/>
        <family val="2"/>
      </rPr>
      <t>2</t>
    </r>
    <r>
      <rPr>
        <sz val="11"/>
        <color theme="1"/>
        <rFont val="Calibri"/>
        <family val="2"/>
      </rPr>
      <t>), sodium hydroxide and ammonia
- alkenes with water, halogens(X</t>
    </r>
    <r>
      <rPr>
        <vertAlign val="subscript"/>
        <sz val="11"/>
        <color theme="1"/>
        <rFont val="Calibri"/>
        <family val="2"/>
      </rPr>
      <t>2</t>
    </r>
    <r>
      <rPr>
        <sz val="11"/>
        <color theme="1"/>
        <rFont val="Calibri"/>
        <family val="2"/>
      </rPr>
      <t>), hydrogen (H</t>
    </r>
    <r>
      <rPr>
        <vertAlign val="subscript"/>
        <sz val="11"/>
        <color theme="1"/>
        <rFont val="Calibri"/>
        <family val="2"/>
      </rPr>
      <t>2</t>
    </r>
    <r>
      <rPr>
        <sz val="11"/>
        <color theme="1"/>
        <rFont val="Calibri"/>
        <family val="2"/>
      </rPr>
      <t>) and hydrogen halides (HX)
- alcohols with hydrogen halides (HX)
- carboxylic acid with alcohol to form esters, and with amines to form amides.</t>
    </r>
  </si>
  <si>
    <t>4.1.3.4</t>
  </si>
  <si>
    <t>Determine, using equations, reactions including the
- oxidation of alcohols
- combustion of alkanes and alcohols
- addition of alkenes to form poly(alkenes)
- reduction of alkynes and alkenes to form alkanes
- elimination of haloalkanes to form alkenes.</t>
  </si>
  <si>
    <t>Identify reactions as addition, elimination, substitution or redox (oxidation-reduction). (Reaction mechanism for substitution and elimination reactions are not required.)</t>
  </si>
  <si>
    <t>Determine the primary, secondary and tertiary carbon atoms in haloalkanes and alcohols.</t>
  </si>
  <si>
    <t>4.1.3.2</t>
  </si>
  <si>
    <t>Describe the acid-base properties of carboxylic acids and amines.</t>
  </si>
  <si>
    <t>4.1.3.5
4.1.3.6</t>
  </si>
  <si>
    <t>Explain that esterification is a reversible reaction.</t>
  </si>
  <si>
    <t>4.2.3.5</t>
  </si>
  <si>
    <t>Discriminate between
- alkanes and alkenes using bromine water
- primary, secondary and tertiary alcohols using acidified potassium dichromate (VI) and potassium manganate (VII).</t>
  </si>
  <si>
    <t>4.1.3.9</t>
  </si>
  <si>
    <t>Apply Markovnikov’s rule to determine the products for addition reactions of alkenes with hydrogen halides (HX) and water.</t>
  </si>
  <si>
    <t>Determine reaction pathways, including reagents, condition and chemical equations, given the starting materials and the product/s formed. (Reaction pathways are based on, but not limited to, the summary diagram in the QCAA Chemistry formula and data book.)</t>
  </si>
  <si>
    <t>4.1.3.10
4.1.3.11</t>
  </si>
  <si>
    <t>Interpret chemical tests to distinguish between alkanes and alkenes; and primary, secondary and tertiary alcohols.</t>
  </si>
  <si>
    <t>Organic materials: structure and function</t>
  </si>
  <si>
    <t>Describe the structural features of
- amino acids, tripeptides, monosaccharides and disaccharides
- polyethene (LDPE and HDPE), polypropene (syntactic, isotactic and atactic) and polytetrafluorethene (Teflon).
- polylactic acid (PLA), polyamide (nylon) and polyester.</t>
  </si>
  <si>
    <t>4.2.3.1
4.?</t>
  </si>
  <si>
    <t>Explain how properties, including strength, density and biodegradability of polymers can be related to the structures of the materials.</t>
  </si>
  <si>
    <t>Explain the acid-base properties of 2-amino acids, including the formation of zwitterions.</t>
  </si>
  <si>
    <t>Explain how amino acids can be separated and identified by paper/TLC chromatography, including intermolecular forces/solubility in mobile and stationary phase and retention (Rf) values.</t>
  </si>
  <si>
    <t>Explain how amino acids can be separated and analysed by electrophoresis, including pH of buffer, isoelectric points, and movement of charged ions.</t>
  </si>
  <si>
    <r>
      <t xml:space="preserve">Analyse data, including paper/TLC chromatograms and electrophoresis to determine the identity of amino acids and retention factors. (Formula: </t>
    </r>
    <r>
      <rPr>
        <i/>
        <sz val="11"/>
        <color theme="1"/>
        <rFont val="Calibri"/>
        <family val="2"/>
      </rPr>
      <t>R</t>
    </r>
    <r>
      <rPr>
        <i/>
        <vertAlign val="subscript"/>
        <sz val="11"/>
        <color theme="1"/>
        <rFont val="Calibri"/>
        <family val="2"/>
      </rPr>
      <t>f</t>
    </r>
    <r>
      <rPr>
        <sz val="11"/>
        <color theme="1"/>
        <rFont val="Calibri"/>
        <family val="2"/>
      </rPr>
      <t>= distance moved by the amino acid/distance moved by the solvent )</t>
    </r>
  </si>
  <si>
    <t>Analyse data from spectra, including mass spectroscopy and infrared to determine the identity and structure of organic molecules.</t>
  </si>
  <si>
    <t>4.1.5.2</t>
  </si>
  <si>
    <t>Topic 2:  Chemical Synthesis and Design</t>
  </si>
  <si>
    <t>Chemical synthesis</t>
  </si>
  <si>
    <t>Explain that reagents and reaction conditions are chosen to optimise the yield and rate for chemical synthesis processes, including the production of ammonia (Haber process) and sulfuric acid (contact process).</t>
  </si>
  <si>
    <t>4.2.1.2</t>
  </si>
  <si>
    <t>Describe, using equations, the
- production of ammonia by the Haber process
- production of sulfuric acid using the contact process
- production of ethanol from fermentation and the hydration of ethene
- operation of a hydrogen fuel cell under acidic and alkaline conditions.</t>
  </si>
  <si>
    <t>4.2.1.5</t>
  </si>
  <si>
    <t>Calculate the yield of chemical synthesis reactions by comparing stoichiometric quantities with actual quantities and by determining limiting reagents and/or reaction conditions.</t>
  </si>
  <si>
    <t>4.2.1.8</t>
  </si>
  <si>
    <t>Analyse and interpret data to determine the impact of reagents and reaction conditions on yield and rate of chemical synthesis processes.</t>
  </si>
  <si>
    <t xml:space="preserve">Macromolecules: polymers, proteins and carbohydrates </t>
  </si>
  <si>
    <t>Describe, using equations, how
- addition polymers, including polyethene (LDPE and HDPE), polypropene and polytetrafluorethene, can be produced from their monomers
- condensation polymers, including polysaccharides (carbohydrates), polylactic acid (PLA), polyamide (proteins and nylon) and polyester, can be produced from their monomers.</t>
  </si>
  <si>
    <t>Apply amino acid symbols to construct and name tripeptides.</t>
  </si>
  <si>
    <t>Identify that tripeptides are formed when amino acid monomers are joined by peptide bonds.</t>
  </si>
  <si>
    <t>Identify that disaccharides are formed when monosaccharides monomers are joined by glycosidic bonds.</t>
  </si>
  <si>
    <t>9.1, 9.2</t>
  </si>
  <si>
    <t>14.1, 14.2</t>
  </si>
  <si>
    <t>5.2, 5.4</t>
  </si>
  <si>
    <t>2025 Syllabus</t>
  </si>
  <si>
    <t>9.1, 9.2, 9.3</t>
  </si>
  <si>
    <t>10.1, 10.3, 10.5</t>
  </si>
  <si>
    <t>10.1, 10.3, 10.5, 10.6</t>
  </si>
  <si>
    <t>10.1, 10.3</t>
  </si>
  <si>
    <t>11.1, 11.2, 11.3</t>
  </si>
  <si>
    <t>12.1, 12.3</t>
  </si>
  <si>
    <t>13.1, 13.4, 13.5</t>
  </si>
  <si>
    <t>Lesson</t>
  </si>
  <si>
    <t>3.02, 3.03</t>
  </si>
  <si>
    <t>3.04, 3.13, 3.20</t>
  </si>
  <si>
    <t>3.09, 3.16</t>
  </si>
  <si>
    <t>x</t>
  </si>
  <si>
    <t>4.01, 4.02</t>
  </si>
  <si>
    <t>4.05, 4.06</t>
  </si>
  <si>
    <t>4.09-4.12</t>
  </si>
  <si>
    <t>4.09,4.12</t>
  </si>
  <si>
    <t>4.09, 4.10</t>
  </si>
  <si>
    <t>4.08, 4.16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</si>
</sst>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1"/>
      <color rgb="FF000000"/>
      <name val="Calibri"/>
      <family val="2"/>
      <scheme val="minor"/>
    </font>
    <font>
      <b/>
      <sz val="11"/>
      <color rgb="FF000000"/>
      <name val="Calibri"/>
      <family val="2"/>
      <scheme val="minor"/>
    </font>
    <font>
      <b/>
      <sz val="12"/>
      <color rgb="FF000000"/>
      <name val="Calibri"/>
      <family val="2"/>
      <scheme val="minor"/>
    </font>
    <font>
      <b/>
      <sz val="16"/>
      <color theme="1"/>
      <name val="Calibri"/>
      <family val="2"/>
      <scheme val="minor"/>
    </font>
    <font>
      <sz val="12"/>
      <color rgb="FF9C0006"/>
      <name val="Calibri"/>
      <family val="2"/>
      <scheme val="minor"/>
    </font>
    <font>
      <sz val="11"/>
      <color theme="1"/>
      <name val="Calibri"/>
      <family val="2"/>
    </font>
    <font>
      <i/>
      <sz val="11"/>
      <color theme="1"/>
      <name val="Calibri"/>
      <family val="2"/>
    </font>
    <font>
      <vertAlign val="superscript"/>
      <sz val="11"/>
      <color theme="1"/>
      <name val="Calibri"/>
      <family val="2"/>
    </font>
    <font>
      <vertAlign val="subscript"/>
      <sz val="11"/>
      <color theme="1"/>
      <name val="Calibri"/>
      <family val="2"/>
    </font>
    <font>
      <i/>
      <vertAlign val="subscript"/>
      <sz val="11"/>
      <color theme="1"/>
      <name val="Calibri"/>
      <family val="2"/>
    </font>
    <font>
      <b/>
      <sz val="12"/>
      <name val="Calibri"/>
      <family val="2"/>
      <scheme val="minor"/>
    </font>
    <font>
      <sz val="12"/>
      <color rgb="FF000000"/>
      <name val="Calibri"/>
      <family val="2"/>
      <scheme val="minor"/>
    </font>
  </fonts>
  <fills count="4">
    <fill>
      <patternFill patternType="none"/>
    </fill>
    <fill>
      <patternFill patternType="gray125"/>
    </fill>
    <fill>
      <patternFill patternType="solid">
        <fgColor theme="2"/>
        <bgColor indexed="64"/>
      </patternFill>
    </fill>
    <fill>
      <patternFill patternType="solid">
        <fgColor rgb="FFFFC7CE"/>
      </patternFill>
    </fill>
  </fills>
  <borders count="1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s>
  <cellStyleXfs count="2">
    <xf numFmtId="0" fontId="0" fillId="0" borderId="0"/>
    <xf numFmtId="0" fontId="5" fillId="3" borderId="0" applyNumberFormat="0" applyBorder="0" applyAlignment="0" applyProtection="0"/>
  </cellStyleXfs>
  <cellXfs count="48">
    <xf numFmtId="0" fontId="0" fillId="0" borderId="0" xfId="0"/>
    <xf numFmtId="0" fontId="1" fillId="0" borderId="1" xfId="0" applyFont="1" applyBorder="1" applyAlignment="1">
      <alignment horizontal="center" vertical="center" wrapText="1"/>
    </xf>
    <xf numFmtId="0" fontId="1" fillId="0" borderId="5"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3" fillId="2" borderId="9"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1" fillId="0" borderId="9" xfId="0" applyFont="1" applyBorder="1" applyAlignment="1">
      <alignment horizontal="center" vertical="center" wrapText="1"/>
    </xf>
    <xf numFmtId="0" fontId="5" fillId="0" borderId="1" xfId="1" applyFill="1" applyBorder="1" applyAlignment="1">
      <alignment horizontal="center" vertical="center" wrapText="1"/>
    </xf>
    <xf numFmtId="0" fontId="6" fillId="0" borderId="1" xfId="0" applyFont="1" applyBorder="1" applyAlignment="1">
      <alignment wrapText="1"/>
    </xf>
    <xf numFmtId="0" fontId="3" fillId="2" borderId="9" xfId="0" applyFont="1" applyFill="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12" fillId="2" borderId="10" xfId="0" applyFont="1" applyFill="1" applyBorder="1" applyAlignment="1">
      <alignment horizontal="center" vertical="center" wrapText="1"/>
    </xf>
    <xf numFmtId="2" fontId="0" fillId="0" borderId="10" xfId="0" applyNumberFormat="1" applyBorder="1" applyAlignment="1">
      <alignment horizontal="center" vertical="center"/>
    </xf>
    <xf numFmtId="0" fontId="6" fillId="0" borderId="2" xfId="0" applyFont="1" applyBorder="1" applyAlignment="1">
      <alignment wrapText="1"/>
    </xf>
    <xf numFmtId="0" fontId="6" fillId="0" borderId="7" xfId="0" applyFont="1" applyBorder="1" applyAlignment="1">
      <alignment wrapText="1"/>
    </xf>
    <xf numFmtId="0" fontId="0" fillId="0" borderId="0" xfId="0" applyAlignment="1">
      <alignment wrapText="1"/>
    </xf>
    <xf numFmtId="0" fontId="6" fillId="0" borderId="1" xfId="0" applyFont="1" applyBorder="1" applyAlignment="1">
      <alignment horizontal="center" wrapText="1"/>
    </xf>
    <xf numFmtId="0" fontId="6" fillId="0" borderId="2" xfId="0" applyFont="1" applyBorder="1" applyAlignment="1">
      <alignment horizontal="center" wrapText="1"/>
    </xf>
    <xf numFmtId="0" fontId="6" fillId="0" borderId="5" xfId="0" applyFont="1" applyBorder="1" applyAlignment="1">
      <alignment horizontal="center" wrapText="1"/>
    </xf>
    <xf numFmtId="0" fontId="6" fillId="0" borderId="9" xfId="0" applyFont="1" applyBorder="1" applyAlignment="1">
      <alignment horizontal="center" wrapText="1"/>
    </xf>
    <xf numFmtId="2" fontId="6" fillId="0" borderId="1" xfId="0" applyNumberFormat="1" applyFont="1" applyBorder="1" applyAlignment="1">
      <alignment horizontal="center" wrapText="1"/>
    </xf>
    <xf numFmtId="0" fontId="6" fillId="0" borderId="6" xfId="0" applyFont="1" applyBorder="1" applyAlignment="1">
      <alignment horizontal="center" vertical="center" wrapText="1"/>
    </xf>
    <xf numFmtId="0" fontId="6"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 xfId="0" applyFont="1" applyBorder="1" applyAlignment="1">
      <alignment horizontal="center" vertical="center" wrapText="1"/>
    </xf>
    <xf numFmtId="0" fontId="4" fillId="2" borderId="8" xfId="0" applyFont="1" applyFill="1" applyBorder="1" applyAlignment="1">
      <alignment horizontal="center"/>
    </xf>
    <xf numFmtId="0" fontId="4" fillId="2" borderId="7" xfId="0" applyFont="1" applyFill="1" applyBorder="1" applyAlignment="1">
      <alignment horizontal="center"/>
    </xf>
    <xf numFmtId="0" fontId="4" fillId="2" borderId="2" xfId="0" applyFont="1" applyFill="1" applyBorder="1" applyAlignment="1">
      <alignment horizontal="center"/>
    </xf>
    <xf numFmtId="0" fontId="11" fillId="0" borderId="6" xfId="0" applyFont="1" applyBorder="1" applyAlignment="1">
      <alignment horizontal="center" vertical="center" textRotation="90" wrapText="1"/>
    </xf>
    <xf numFmtId="0" fontId="11" fillId="0" borderId="4" xfId="0" applyFont="1" applyBorder="1" applyAlignment="1">
      <alignment horizontal="center" vertical="center" textRotation="90" wrapText="1"/>
    </xf>
    <xf numFmtId="0" fontId="11" fillId="0" borderId="12" xfId="0" applyFont="1" applyBorder="1" applyAlignment="1">
      <alignment horizontal="center" vertical="center" textRotation="90" wrapText="1"/>
    </xf>
    <xf numFmtId="0" fontId="11" fillId="0" borderId="13" xfId="0" applyFont="1" applyBorder="1" applyAlignment="1">
      <alignment horizontal="center" vertical="center" textRotation="90" wrapText="1"/>
    </xf>
    <xf numFmtId="0" fontId="11" fillId="0" borderId="9" xfId="0" applyFont="1" applyBorder="1" applyAlignment="1">
      <alignment horizontal="center" vertical="center" textRotation="90" wrapText="1"/>
    </xf>
    <xf numFmtId="0" fontId="11" fillId="0" borderId="11" xfId="0" applyFont="1" applyBorder="1" applyAlignment="1">
      <alignment horizontal="center" vertical="center" textRotation="90" wrapText="1"/>
    </xf>
    <xf numFmtId="0" fontId="11" fillId="0" borderId="3" xfId="0" applyFont="1" applyBorder="1" applyAlignment="1">
      <alignment horizontal="center" vertical="center" textRotation="90" wrapText="1"/>
    </xf>
  </cellXfs>
  <cellStyles count="2">
    <cellStyle name="Bad" xfId="1" builtinId="27"/>
    <cellStyle name="Normal" xfId="0" builtinId="0"/>
  </cellStyles>
  <dxfs count="84">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s>
  <tableStyles count="0" defaultTableStyle="TableStyleMedium2" defaultPivotStyle="PivotStyleLight16"/>
  <colors>
    <mruColors>
      <color rgb="FF076304"/>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1D98-511B-514E-B817-8F41CB9D8D54}">
  <sheetPr>
    <pageSetUpPr fitToPage="1"/>
  </sheetPr>
  <dimension ref="B1:P123"/>
  <sheetViews>
    <sheetView tabSelected="1" zoomScale="85" zoomScaleNormal="85" workbookViewId="0">
      <pane xSplit="5" ySplit="3" topLeftCell="F38" activePane="bottomRight" state="frozen"/>
      <selection pane="topRight" activeCell="F1" sqref="F1"/>
      <selection pane="bottomLeft" activeCell="A4" sqref="A4"/>
      <selection pane="bottomRight" activeCell="F48" sqref="F48:H53"/>
    </sheetView>
  </sheetViews>
  <sheetFormatPr defaultColWidth="10.59765625" defaultRowHeight="15.6" x14ac:dyDescent="0.3"/>
  <cols>
    <col min="1" max="1" width="3.19921875" customWidth="1"/>
    <col min="2" max="3" width="6.69921875" customWidth="1"/>
    <col min="4" max="4" width="19.59765625" customWidth="1"/>
    <col min="5" max="5" width="5.59765625" customWidth="1"/>
    <col min="6" max="6" width="80.19921875" customWidth="1"/>
    <col min="7" max="7" width="17.09765625" style="13" customWidth="1"/>
    <col min="8" max="8" width="15.69921875" customWidth="1"/>
    <col min="9" max="9" width="19" customWidth="1"/>
    <col min="10" max="12" width="3.5" style="13" hidden="1" customWidth="1"/>
    <col min="13" max="13" width="5.59765625" hidden="1" customWidth="1"/>
    <col min="14" max="14" width="0" style="14" hidden="1" customWidth="1"/>
  </cols>
  <sheetData>
    <row r="1" spans="2:14" ht="16.2" thickBot="1" x14ac:dyDescent="0.35"/>
    <row r="2" spans="2:14" ht="21.6" thickBot="1" x14ac:dyDescent="0.45">
      <c r="B2" s="38" t="s">
        <v>9</v>
      </c>
      <c r="C2" s="39"/>
      <c r="D2" s="39"/>
      <c r="E2" s="39"/>
      <c r="F2" s="39"/>
      <c r="G2" s="39"/>
      <c r="H2" s="39"/>
      <c r="I2" s="40"/>
    </row>
    <row r="3" spans="2:14" ht="48" customHeight="1" thickBot="1" x14ac:dyDescent="0.35">
      <c r="B3" s="4" t="s">
        <v>0</v>
      </c>
      <c r="C3" s="5" t="s">
        <v>1</v>
      </c>
      <c r="D3" s="7" t="s">
        <v>2</v>
      </c>
      <c r="E3" s="7"/>
      <c r="F3" s="12" t="s">
        <v>3</v>
      </c>
      <c r="G3" s="12" t="s">
        <v>237</v>
      </c>
      <c r="H3" s="8" t="s">
        <v>4</v>
      </c>
      <c r="I3" s="3" t="s">
        <v>10</v>
      </c>
      <c r="N3" s="17" t="s">
        <v>229</v>
      </c>
    </row>
    <row r="4" spans="2:14" ht="16.2" thickBot="1" x14ac:dyDescent="0.35">
      <c r="B4" s="41" t="s">
        <v>11</v>
      </c>
      <c r="C4" s="41" t="s">
        <v>12</v>
      </c>
      <c r="D4" s="37" t="s">
        <v>13</v>
      </c>
      <c r="E4" s="29" t="str">
        <f>TEXT(J4,"0")&amp;"."&amp;TEXT(K4,"0")&amp;"."&amp;TEXT(L4,"0")</f>
        <v>3.1.1</v>
      </c>
      <c r="F4" s="11" t="s">
        <v>14</v>
      </c>
      <c r="G4" s="22">
        <v>3.01</v>
      </c>
      <c r="H4" s="10">
        <v>2.1</v>
      </c>
      <c r="I4" s="6">
        <v>1</v>
      </c>
      <c r="J4" s="13">
        <v>3</v>
      </c>
      <c r="K4" s="13">
        <v>1</v>
      </c>
      <c r="L4" s="13">
        <v>1</v>
      </c>
      <c r="M4" s="13" t="str">
        <f>TEXT(J4,"0")&amp;"."&amp;TEXT(K4,"0")&amp;"."&amp;TEXT(L4,"0")</f>
        <v>3.1.1</v>
      </c>
      <c r="N4" s="15" t="s">
        <v>15</v>
      </c>
    </row>
    <row r="5" spans="2:14" ht="16.2" thickBot="1" x14ac:dyDescent="0.35">
      <c r="B5" s="42"/>
      <c r="C5" s="42"/>
      <c r="D5" s="37"/>
      <c r="E5" s="30"/>
      <c r="F5" s="11" t="s">
        <v>16</v>
      </c>
      <c r="G5" s="22">
        <v>3.01</v>
      </c>
      <c r="H5" s="10">
        <v>2.1</v>
      </c>
      <c r="I5" s="6">
        <v>1</v>
      </c>
      <c r="J5" s="13">
        <v>3</v>
      </c>
      <c r="K5" s="13">
        <v>1</v>
      </c>
      <c r="L5" s="13">
        <v>1</v>
      </c>
      <c r="M5" s="13" t="str">
        <f t="shared" ref="M5:M104" si="0">TEXT(J5,"0")&amp;"."&amp;TEXT(K5,"0")&amp;"."&amp;TEXT(L5,"0")</f>
        <v>3.1.1</v>
      </c>
      <c r="N5" s="15" t="s">
        <v>17</v>
      </c>
    </row>
    <row r="6" spans="2:14" ht="16.2" thickBot="1" x14ac:dyDescent="0.35">
      <c r="B6" s="42"/>
      <c r="C6" s="42"/>
      <c r="D6" s="37"/>
      <c r="E6" s="30"/>
      <c r="F6" s="11" t="s">
        <v>18</v>
      </c>
      <c r="G6" s="22">
        <v>3.01</v>
      </c>
      <c r="H6" s="10">
        <v>2.1</v>
      </c>
      <c r="I6" s="6">
        <v>1</v>
      </c>
      <c r="J6" s="13">
        <v>3</v>
      </c>
      <c r="K6" s="13">
        <v>1</v>
      </c>
      <c r="L6" s="13">
        <v>1</v>
      </c>
      <c r="M6" s="13" t="str">
        <f t="shared" si="0"/>
        <v>3.1.1</v>
      </c>
      <c r="N6" s="15" t="s">
        <v>19</v>
      </c>
    </row>
    <row r="7" spans="2:14" ht="29.4" thickBot="1" x14ac:dyDescent="0.35">
      <c r="B7" s="42"/>
      <c r="C7" s="42"/>
      <c r="D7" s="37"/>
      <c r="E7" s="30"/>
      <c r="F7" s="11" t="s">
        <v>20</v>
      </c>
      <c r="G7" s="22">
        <v>3.01</v>
      </c>
      <c r="H7" s="10">
        <v>2.1</v>
      </c>
      <c r="I7" s="6">
        <v>1</v>
      </c>
      <c r="J7" s="13">
        <v>3</v>
      </c>
      <c r="K7" s="13">
        <v>1</v>
      </c>
      <c r="L7" s="13">
        <v>1</v>
      </c>
      <c r="M7" s="13" t="str">
        <f t="shared" si="0"/>
        <v>3.1.1</v>
      </c>
      <c r="N7" s="15" t="s">
        <v>21</v>
      </c>
    </row>
    <row r="8" spans="2:14" ht="43.8" thickBot="1" x14ac:dyDescent="0.35">
      <c r="B8" s="42"/>
      <c r="C8" s="42"/>
      <c r="D8" s="37"/>
      <c r="E8" s="30"/>
      <c r="F8" s="11" t="s">
        <v>22</v>
      </c>
      <c r="G8" s="22">
        <v>3.01</v>
      </c>
      <c r="H8" s="10">
        <v>2.1</v>
      </c>
      <c r="I8" s="6">
        <v>1</v>
      </c>
      <c r="J8" s="13">
        <v>3</v>
      </c>
      <c r="K8" s="13">
        <v>1</v>
      </c>
      <c r="L8" s="13">
        <v>1</v>
      </c>
      <c r="M8" s="13" t="str">
        <f t="shared" si="0"/>
        <v>3.1.1</v>
      </c>
      <c r="N8" s="15" t="s">
        <v>23</v>
      </c>
    </row>
    <row r="9" spans="2:14" ht="29.4" thickBot="1" x14ac:dyDescent="0.35">
      <c r="B9" s="42"/>
      <c r="C9" s="42"/>
      <c r="D9" s="37"/>
      <c r="E9" s="30"/>
      <c r="F9" s="11" t="s">
        <v>24</v>
      </c>
      <c r="G9" s="22">
        <v>3.01</v>
      </c>
      <c r="H9" s="10">
        <v>2.1</v>
      </c>
      <c r="I9" s="6">
        <v>1</v>
      </c>
      <c r="J9" s="13">
        <v>3</v>
      </c>
      <c r="K9" s="13">
        <v>1</v>
      </c>
      <c r="L9" s="13">
        <v>1</v>
      </c>
      <c r="M9" s="13" t="str">
        <f t="shared" si="0"/>
        <v>3.1.1</v>
      </c>
      <c r="N9" s="15" t="s">
        <v>25</v>
      </c>
    </row>
    <row r="10" spans="2:14" ht="51.75" customHeight="1" thickBot="1" x14ac:dyDescent="0.35">
      <c r="B10" s="42"/>
      <c r="C10" s="42"/>
      <c r="D10" s="37"/>
      <c r="E10" s="31"/>
      <c r="F10" s="11" t="s">
        <v>26</v>
      </c>
      <c r="G10" s="22">
        <v>3.01</v>
      </c>
      <c r="H10" s="10">
        <v>2.1</v>
      </c>
      <c r="I10" s="6">
        <v>1</v>
      </c>
      <c r="J10" s="13">
        <v>3</v>
      </c>
      <c r="K10" s="13">
        <v>1</v>
      </c>
      <c r="L10" s="13">
        <v>1</v>
      </c>
      <c r="M10" s="13" t="str">
        <f t="shared" si="0"/>
        <v>3.1.1</v>
      </c>
      <c r="N10" s="15" t="s">
        <v>27</v>
      </c>
    </row>
    <row r="11" spans="2:14" ht="29.4" thickBot="1" x14ac:dyDescent="0.35">
      <c r="B11" s="42"/>
      <c r="C11" s="42"/>
      <c r="D11" s="37" t="s">
        <v>28</v>
      </c>
      <c r="E11" s="29" t="str">
        <f>TEXT(J11,"0")&amp;"."&amp;TEXT(K11,"0")&amp;"."&amp;TEXT(L11,"0")</f>
        <v>3.1.2</v>
      </c>
      <c r="F11" s="11" t="s">
        <v>29</v>
      </c>
      <c r="G11" s="22" t="s">
        <v>238</v>
      </c>
      <c r="H11" s="1">
        <v>2.2000000000000002</v>
      </c>
      <c r="I11" s="6">
        <v>1</v>
      </c>
      <c r="J11" s="13">
        <v>3</v>
      </c>
      <c r="K11" s="13">
        <v>1</v>
      </c>
      <c r="L11" s="13">
        <v>2</v>
      </c>
      <c r="M11" s="13" t="str">
        <f t="shared" si="0"/>
        <v>3.1.2</v>
      </c>
      <c r="N11" s="15" t="s">
        <v>30</v>
      </c>
    </row>
    <row r="12" spans="2:14" ht="29.4" thickBot="1" x14ac:dyDescent="0.35">
      <c r="B12" s="42"/>
      <c r="C12" s="42"/>
      <c r="D12" s="37"/>
      <c r="E12" s="30"/>
      <c r="F12" s="11" t="s">
        <v>31</v>
      </c>
      <c r="G12" s="22" t="s">
        <v>238</v>
      </c>
      <c r="H12" s="1">
        <v>2.2000000000000002</v>
      </c>
      <c r="I12" s="6">
        <v>1</v>
      </c>
      <c r="J12" s="13">
        <v>3</v>
      </c>
      <c r="K12" s="13">
        <v>1</v>
      </c>
      <c r="L12" s="13">
        <v>2</v>
      </c>
      <c r="M12" s="13" t="str">
        <f t="shared" si="0"/>
        <v>3.1.2</v>
      </c>
      <c r="N12" s="15" t="s">
        <v>32</v>
      </c>
    </row>
    <row r="13" spans="2:14" ht="43.8" thickBot="1" x14ac:dyDescent="0.35">
      <c r="B13" s="42"/>
      <c r="C13" s="42"/>
      <c r="D13" s="37"/>
      <c r="E13" s="31"/>
      <c r="F13" s="11" t="s">
        <v>33</v>
      </c>
      <c r="G13" s="22" t="s">
        <v>238</v>
      </c>
      <c r="H13" s="1">
        <v>2.2000000000000002</v>
      </c>
      <c r="I13" s="6">
        <v>1</v>
      </c>
      <c r="J13" s="13">
        <v>3</v>
      </c>
      <c r="K13" s="13">
        <v>1</v>
      </c>
      <c r="L13" s="13">
        <v>2</v>
      </c>
      <c r="M13" s="13" t="str">
        <f t="shared" si="0"/>
        <v>3.1.2</v>
      </c>
      <c r="N13" s="15" t="s">
        <v>34</v>
      </c>
    </row>
    <row r="14" spans="2:14" ht="30.6" thickBot="1" x14ac:dyDescent="0.35">
      <c r="B14" s="42"/>
      <c r="C14" s="42"/>
      <c r="D14" s="29" t="s">
        <v>35</v>
      </c>
      <c r="E14" s="29" t="str">
        <f>TEXT(J14,"0")&amp;"."&amp;TEXT(K14,"0")&amp;"."&amp;TEXT(L14,"0")</f>
        <v>3.1.3</v>
      </c>
      <c r="F14" s="11" t="s">
        <v>36</v>
      </c>
      <c r="G14" s="22">
        <v>3.04</v>
      </c>
      <c r="H14" s="1">
        <v>2.6</v>
      </c>
      <c r="I14" s="6">
        <v>1</v>
      </c>
      <c r="J14" s="13">
        <v>3</v>
      </c>
      <c r="K14" s="13">
        <v>1</v>
      </c>
      <c r="L14" s="13">
        <v>3</v>
      </c>
      <c r="M14" s="13" t="str">
        <f t="shared" si="0"/>
        <v>3.1.3</v>
      </c>
      <c r="N14" s="15" t="s">
        <v>37</v>
      </c>
    </row>
    <row r="15" spans="2:14" ht="47.25" customHeight="1" thickBot="1" x14ac:dyDescent="0.4">
      <c r="B15" s="42"/>
      <c r="C15" s="42"/>
      <c r="D15" s="30"/>
      <c r="E15" s="30"/>
      <c r="F15" s="11" t="s">
        <v>38</v>
      </c>
      <c r="G15" s="22">
        <v>3.21</v>
      </c>
      <c r="H15" s="1">
        <v>2.6</v>
      </c>
      <c r="I15" s="6">
        <v>1</v>
      </c>
      <c r="J15" s="13">
        <v>3</v>
      </c>
      <c r="K15" s="13">
        <v>1</v>
      </c>
      <c r="L15" s="13">
        <v>3</v>
      </c>
      <c r="M15" s="13" t="str">
        <f>TEXT(J15,"0")&amp;"."&amp;TEXT(K15,"0")&amp;"."&amp;TEXT(L15,"0")</f>
        <v>3.1.3</v>
      </c>
      <c r="N15" s="15" t="s">
        <v>39</v>
      </c>
    </row>
    <row r="16" spans="2:14" ht="16.2" thickBot="1" x14ac:dyDescent="0.35">
      <c r="B16" s="42"/>
      <c r="C16" s="42"/>
      <c r="D16" s="30"/>
      <c r="E16" s="30"/>
      <c r="F16" s="11" t="s">
        <v>40</v>
      </c>
      <c r="G16" s="22">
        <v>3.04</v>
      </c>
      <c r="H16" s="1">
        <v>2.6</v>
      </c>
      <c r="I16" s="6">
        <v>1</v>
      </c>
      <c r="J16" s="13">
        <v>3</v>
      </c>
      <c r="K16" s="13">
        <v>1</v>
      </c>
      <c r="L16" s="13">
        <v>3</v>
      </c>
      <c r="M16" s="13" t="str">
        <f>TEXT(J16,"0")&amp;"."&amp;TEXT(K16,"0")&amp;"."&amp;TEXT(L16,"0")</f>
        <v>3.1.3</v>
      </c>
      <c r="N16" s="15" t="s">
        <v>37</v>
      </c>
    </row>
    <row r="17" spans="2:14" ht="16.8" thickBot="1" x14ac:dyDescent="0.4">
      <c r="B17" s="42"/>
      <c r="C17" s="42"/>
      <c r="D17" s="30"/>
      <c r="E17" s="30"/>
      <c r="F17" s="11" t="s">
        <v>41</v>
      </c>
      <c r="G17" s="22">
        <v>3.04</v>
      </c>
      <c r="H17" s="1">
        <v>2.6</v>
      </c>
      <c r="I17" s="6">
        <v>1</v>
      </c>
      <c r="J17" s="13">
        <v>3</v>
      </c>
      <c r="K17" s="13">
        <v>1</v>
      </c>
      <c r="L17" s="13">
        <v>3</v>
      </c>
      <c r="M17" s="13" t="str">
        <f>TEXT(J17,"0")&amp;"."&amp;TEXT(K17,"0")&amp;"."&amp;TEXT(L17,"0")</f>
        <v>3.1.3</v>
      </c>
      <c r="N17" s="15" t="s">
        <v>42</v>
      </c>
    </row>
    <row r="18" spans="2:14" ht="31.8" thickBot="1" x14ac:dyDescent="0.35">
      <c r="B18" s="42"/>
      <c r="C18" s="42"/>
      <c r="D18" s="30"/>
      <c r="E18" s="30"/>
      <c r="F18" s="11" t="s">
        <v>43</v>
      </c>
      <c r="G18" s="22">
        <v>3.13</v>
      </c>
      <c r="H18" s="1">
        <v>2.6</v>
      </c>
      <c r="I18" s="6">
        <v>1</v>
      </c>
      <c r="J18" s="13">
        <v>3</v>
      </c>
      <c r="K18" s="13">
        <v>1</v>
      </c>
      <c r="L18" s="13">
        <v>3</v>
      </c>
      <c r="M18" s="13" t="str">
        <f>TEXT(J18,"0")&amp;"."&amp;TEXT(K18,"0")&amp;"."&amp;TEXT(L18,"0")</f>
        <v>3.1.3</v>
      </c>
      <c r="N18" s="15" t="s">
        <v>44</v>
      </c>
    </row>
    <row r="19" spans="2:14" ht="48.6" thickBot="1" x14ac:dyDescent="0.4">
      <c r="B19" s="42"/>
      <c r="C19" s="42"/>
      <c r="D19" s="30"/>
      <c r="E19" s="30"/>
      <c r="F19" s="11" t="s">
        <v>45</v>
      </c>
      <c r="G19" s="22" t="s">
        <v>239</v>
      </c>
      <c r="H19" s="1">
        <v>2.6</v>
      </c>
      <c r="I19" s="6">
        <v>1</v>
      </c>
      <c r="J19" s="13">
        <v>3</v>
      </c>
      <c r="K19" s="13">
        <v>1</v>
      </c>
      <c r="L19" s="13">
        <v>3</v>
      </c>
      <c r="M19" s="13" t="str">
        <f>TEXT(J19,"0")&amp;"."&amp;TEXT(K19,"0")&amp;"."&amp;TEXT(L19,"0")</f>
        <v>3.1.3</v>
      </c>
      <c r="N19" s="15" t="s">
        <v>46</v>
      </c>
    </row>
    <row r="20" spans="2:14" ht="32.4" thickBot="1" x14ac:dyDescent="0.35">
      <c r="B20" s="42"/>
      <c r="C20" s="42"/>
      <c r="D20" s="30"/>
      <c r="E20" s="30"/>
      <c r="F20" s="11" t="s">
        <v>47</v>
      </c>
      <c r="G20" s="22">
        <v>3.21</v>
      </c>
      <c r="H20" s="1">
        <v>2.6</v>
      </c>
      <c r="I20" s="6">
        <v>1</v>
      </c>
      <c r="J20" s="13">
        <v>3</v>
      </c>
      <c r="K20" s="13">
        <v>1</v>
      </c>
      <c r="L20" s="13">
        <v>3</v>
      </c>
      <c r="M20" s="13" t="str">
        <f t="shared" si="0"/>
        <v>3.1.3</v>
      </c>
      <c r="N20" s="15" t="s">
        <v>39</v>
      </c>
    </row>
    <row r="21" spans="2:14" ht="38.4" customHeight="1" thickBot="1" x14ac:dyDescent="0.4">
      <c r="B21" s="42"/>
      <c r="C21" s="42"/>
      <c r="D21" s="30"/>
      <c r="E21" s="30"/>
      <c r="F21" s="11" t="s">
        <v>48</v>
      </c>
      <c r="G21" s="22">
        <v>3.13</v>
      </c>
      <c r="H21" s="1">
        <v>2.6</v>
      </c>
      <c r="I21" s="6">
        <v>1</v>
      </c>
      <c r="J21" s="13">
        <v>3</v>
      </c>
      <c r="K21" s="13">
        <v>1</v>
      </c>
      <c r="L21" s="13">
        <v>3</v>
      </c>
      <c r="M21" s="13" t="str">
        <f t="shared" si="0"/>
        <v>3.1.3</v>
      </c>
      <c r="N21" s="15" t="s">
        <v>44</v>
      </c>
    </row>
    <row r="22" spans="2:14" ht="46.2" customHeight="1" thickBot="1" x14ac:dyDescent="0.35">
      <c r="B22" s="42"/>
      <c r="C22" s="42"/>
      <c r="D22" s="31"/>
      <c r="E22" s="31"/>
      <c r="F22" s="11" t="s">
        <v>49</v>
      </c>
      <c r="G22" s="22">
        <v>3.13</v>
      </c>
      <c r="H22" s="1">
        <v>2.6</v>
      </c>
      <c r="I22" s="6">
        <v>1</v>
      </c>
      <c r="J22" s="13">
        <v>3</v>
      </c>
      <c r="K22" s="13">
        <v>1</v>
      </c>
      <c r="L22" s="13">
        <v>3</v>
      </c>
      <c r="M22" s="13" t="str">
        <f t="shared" si="0"/>
        <v>3.1.3</v>
      </c>
      <c r="N22" s="16" t="s">
        <v>46</v>
      </c>
    </row>
    <row r="23" spans="2:14" ht="16.2" thickBot="1" x14ac:dyDescent="0.35">
      <c r="B23" s="42"/>
      <c r="C23" s="42"/>
      <c r="D23" s="37" t="s">
        <v>50</v>
      </c>
      <c r="E23" s="29" t="str">
        <f>TEXT(J23,"0")&amp;"."&amp;TEXT(K23,"0")&amp;"."&amp;TEXT(L23,"0")</f>
        <v>3.1.4</v>
      </c>
      <c r="F23" s="11" t="s">
        <v>51</v>
      </c>
      <c r="G23" s="22">
        <v>3.22</v>
      </c>
      <c r="H23" s="1">
        <v>3.1</v>
      </c>
      <c r="I23" s="6">
        <v>1</v>
      </c>
      <c r="J23" s="13">
        <v>3</v>
      </c>
      <c r="K23" s="13">
        <v>1</v>
      </c>
      <c r="L23" s="13">
        <v>4</v>
      </c>
      <c r="M23" s="13" t="str">
        <f t="shared" si="0"/>
        <v>3.1.4</v>
      </c>
      <c r="N23" s="18" t="s">
        <v>52</v>
      </c>
    </row>
    <row r="24" spans="2:14" ht="16.2" thickBot="1" x14ac:dyDescent="0.35">
      <c r="B24" s="42"/>
      <c r="C24" s="42"/>
      <c r="D24" s="37"/>
      <c r="E24" s="30"/>
      <c r="F24" s="11" t="s">
        <v>53</v>
      </c>
      <c r="G24" s="22">
        <v>3.22</v>
      </c>
      <c r="H24" s="1">
        <v>3.1</v>
      </c>
      <c r="I24" s="6">
        <v>1</v>
      </c>
      <c r="J24" s="13">
        <v>3</v>
      </c>
      <c r="K24" s="13">
        <v>1</v>
      </c>
      <c r="L24" s="13">
        <v>4</v>
      </c>
      <c r="M24" s="13" t="str">
        <f>TEXT(J24,"0")&amp;"."&amp;TEXT(K24,"0")&amp;"."&amp;TEXT(L24,"0")</f>
        <v>3.1.4</v>
      </c>
      <c r="N24" s="18" t="s">
        <v>52</v>
      </c>
    </row>
    <row r="25" spans="2:14" ht="29.4" thickBot="1" x14ac:dyDescent="0.35">
      <c r="B25" s="42"/>
      <c r="C25" s="42"/>
      <c r="D25" s="37"/>
      <c r="E25" s="30"/>
      <c r="F25" s="11" t="s">
        <v>54</v>
      </c>
      <c r="G25" s="22">
        <v>3.22</v>
      </c>
      <c r="H25" s="1">
        <v>3.2</v>
      </c>
      <c r="I25" s="6">
        <v>1</v>
      </c>
      <c r="J25" s="13">
        <v>3</v>
      </c>
      <c r="K25" s="13">
        <v>1</v>
      </c>
      <c r="L25" s="13">
        <v>4</v>
      </c>
      <c r="M25" s="13" t="str">
        <f>TEXT(J25,"0")&amp;"."&amp;TEXT(K25,"0")&amp;"."&amp;TEXT(L25,"0")</f>
        <v>3.1.4</v>
      </c>
      <c r="N25" s="18" t="s">
        <v>55</v>
      </c>
    </row>
    <row r="26" spans="2:14" ht="33.6" customHeight="1" thickBot="1" x14ac:dyDescent="0.35">
      <c r="B26" s="42"/>
      <c r="C26" s="42"/>
      <c r="D26" s="37"/>
      <c r="E26" s="30"/>
      <c r="F26" s="11" t="s">
        <v>56</v>
      </c>
      <c r="G26" s="22">
        <v>3.22</v>
      </c>
      <c r="H26" s="1">
        <v>3.2</v>
      </c>
      <c r="I26" s="6">
        <v>1</v>
      </c>
      <c r="J26" s="13">
        <v>3</v>
      </c>
      <c r="K26" s="13">
        <v>1</v>
      </c>
      <c r="L26" s="13">
        <v>4</v>
      </c>
      <c r="M26" s="13" t="str">
        <f>TEXT(J26,"0")&amp;"."&amp;TEXT(K26,"0")&amp;"."&amp;TEXT(L26,"0")</f>
        <v>3.1.4</v>
      </c>
      <c r="N26" s="18" t="s">
        <v>55</v>
      </c>
    </row>
    <row r="27" spans="2:14" ht="16.2" thickBot="1" x14ac:dyDescent="0.35">
      <c r="B27" s="42"/>
      <c r="C27" s="42"/>
      <c r="D27" s="37"/>
      <c r="E27" s="30"/>
      <c r="F27" s="11" t="s">
        <v>57</v>
      </c>
      <c r="G27" s="22">
        <v>3.22</v>
      </c>
      <c r="H27" s="1">
        <v>3.2</v>
      </c>
      <c r="I27" s="6">
        <v>1</v>
      </c>
      <c r="J27" s="13">
        <v>3</v>
      </c>
      <c r="K27" s="13">
        <v>1</v>
      </c>
      <c r="L27" s="13">
        <v>4</v>
      </c>
      <c r="M27" s="13" t="str">
        <f>TEXT(J27,"0")&amp;"."&amp;TEXT(K27,"0")&amp;"."&amp;TEXT(L27,"0")</f>
        <v>3.1.4</v>
      </c>
      <c r="N27" s="18" t="s">
        <v>55</v>
      </c>
    </row>
    <row r="28" spans="2:14" ht="29.4" thickBot="1" x14ac:dyDescent="0.35">
      <c r="B28" s="42"/>
      <c r="C28" s="42"/>
      <c r="D28" s="37"/>
      <c r="E28" s="30"/>
      <c r="F28" s="11" t="s">
        <v>58</v>
      </c>
      <c r="G28" s="22">
        <v>3.22</v>
      </c>
      <c r="H28" s="1">
        <v>3.2</v>
      </c>
      <c r="I28" s="6">
        <v>1</v>
      </c>
      <c r="J28" s="13">
        <v>3</v>
      </c>
      <c r="K28" s="13">
        <v>1</v>
      </c>
      <c r="L28" s="13">
        <v>4</v>
      </c>
      <c r="M28" s="13" t="str">
        <f>TEXT(J28,"0")&amp;"."&amp;TEXT(K28,"0")&amp;"."&amp;TEXT(L28,"0")</f>
        <v>3.1.4</v>
      </c>
      <c r="N28" s="18" t="s">
        <v>55</v>
      </c>
    </row>
    <row r="29" spans="2:14" ht="34.200000000000003" customHeight="1" thickBot="1" x14ac:dyDescent="0.35">
      <c r="B29" s="42"/>
      <c r="C29" s="42"/>
      <c r="D29" s="37"/>
      <c r="E29" s="31"/>
      <c r="F29" s="11" t="s">
        <v>59</v>
      </c>
      <c r="G29" s="22">
        <v>3.22</v>
      </c>
      <c r="H29" s="1">
        <v>3.2</v>
      </c>
      <c r="I29" s="6">
        <v>1</v>
      </c>
      <c r="J29" s="13">
        <v>3</v>
      </c>
      <c r="K29" s="13">
        <v>1</v>
      </c>
      <c r="L29" s="13">
        <v>4</v>
      </c>
      <c r="M29" s="13" t="str">
        <f t="shared" si="0"/>
        <v>3.1.4</v>
      </c>
      <c r="N29" s="18" t="s">
        <v>55</v>
      </c>
    </row>
    <row r="30" spans="2:14" ht="36.6" customHeight="1" thickBot="1" x14ac:dyDescent="0.35">
      <c r="B30" s="42"/>
      <c r="C30" s="42"/>
      <c r="D30" s="37" t="s">
        <v>8</v>
      </c>
      <c r="E30" s="29" t="str">
        <f>TEXT(J30,"0")&amp;"."&amp;TEXT(K30,"0")&amp;"."&amp;TEXT(L30,"0")</f>
        <v>3.1.5</v>
      </c>
      <c r="F30" s="11" t="s">
        <v>60</v>
      </c>
      <c r="G30" s="22">
        <v>3.15</v>
      </c>
      <c r="H30" s="1">
        <v>3.4</v>
      </c>
      <c r="I30" s="6">
        <v>1</v>
      </c>
      <c r="J30" s="13">
        <v>3</v>
      </c>
      <c r="K30" s="13">
        <v>1</v>
      </c>
      <c r="L30" s="13">
        <v>5</v>
      </c>
      <c r="M30" s="13" t="str">
        <f t="shared" si="0"/>
        <v>3.1.5</v>
      </c>
      <c r="N30" s="15" t="s">
        <v>61</v>
      </c>
    </row>
    <row r="31" spans="2:14" ht="30.6" thickBot="1" x14ac:dyDescent="0.35">
      <c r="B31" s="42"/>
      <c r="C31" s="42"/>
      <c r="D31" s="37"/>
      <c r="E31" s="30"/>
      <c r="F31" s="11" t="s">
        <v>62</v>
      </c>
      <c r="G31" s="22">
        <v>3.15</v>
      </c>
      <c r="H31" s="1">
        <v>3.4</v>
      </c>
      <c r="I31" s="6">
        <v>1</v>
      </c>
      <c r="J31" s="13">
        <v>3</v>
      </c>
      <c r="K31" s="13">
        <v>1</v>
      </c>
      <c r="L31" s="13">
        <v>5</v>
      </c>
      <c r="M31" s="13" t="str">
        <f t="shared" si="0"/>
        <v>3.1.5</v>
      </c>
      <c r="N31" s="15" t="s">
        <v>61</v>
      </c>
    </row>
    <row r="32" spans="2:14" ht="33" thickBot="1" x14ac:dyDescent="0.35">
      <c r="B32" s="42"/>
      <c r="C32" s="42"/>
      <c r="D32" s="37"/>
      <c r="E32" s="31"/>
      <c r="F32" s="11" t="s">
        <v>63</v>
      </c>
      <c r="G32" s="22">
        <v>3.24</v>
      </c>
      <c r="H32" s="1">
        <v>3.4</v>
      </c>
      <c r="I32" s="6">
        <v>1</v>
      </c>
      <c r="J32" s="13">
        <v>3</v>
      </c>
      <c r="K32" s="13">
        <v>1</v>
      </c>
      <c r="L32" s="13">
        <v>5</v>
      </c>
      <c r="M32" s="13" t="str">
        <f t="shared" si="0"/>
        <v>3.1.5</v>
      </c>
      <c r="N32" s="16" t="s">
        <v>64</v>
      </c>
    </row>
    <row r="33" spans="2:16" ht="16.2" thickBot="1" x14ac:dyDescent="0.35">
      <c r="B33" s="42"/>
      <c r="C33" s="42"/>
      <c r="D33" s="37" t="s">
        <v>6</v>
      </c>
      <c r="E33" s="29" t="str">
        <f>TEXT(J33,"0")&amp;"."&amp;TEXT(K33,"0")&amp;"."&amp;TEXT(L33,"0")</f>
        <v>3.1.6</v>
      </c>
      <c r="F33" s="11" t="s">
        <v>65</v>
      </c>
      <c r="G33" s="22">
        <v>3.23</v>
      </c>
      <c r="H33" s="1">
        <v>3.1</v>
      </c>
      <c r="I33" s="6">
        <v>1</v>
      </c>
      <c r="J33" s="13">
        <v>3</v>
      </c>
      <c r="K33" s="13">
        <v>1</v>
      </c>
      <c r="L33" s="13">
        <v>6</v>
      </c>
      <c r="M33" s="13" t="str">
        <f t="shared" si="0"/>
        <v>3.1.6</v>
      </c>
      <c r="N33" s="15" t="s">
        <v>66</v>
      </c>
    </row>
    <row r="34" spans="2:16" ht="29.4" thickBot="1" x14ac:dyDescent="0.35">
      <c r="B34" s="42"/>
      <c r="C34" s="42"/>
      <c r="D34" s="37"/>
      <c r="E34" s="30"/>
      <c r="F34" s="11" t="s">
        <v>67</v>
      </c>
      <c r="G34" s="22">
        <v>3.23</v>
      </c>
      <c r="H34" s="1">
        <v>3.1</v>
      </c>
      <c r="I34" s="6">
        <v>1</v>
      </c>
      <c r="J34" s="13">
        <v>3</v>
      </c>
      <c r="K34" s="13">
        <v>1</v>
      </c>
      <c r="L34" s="13">
        <v>6</v>
      </c>
      <c r="M34" s="13" t="str">
        <f>TEXT(J34,"0")&amp;"."&amp;TEXT(K34,"0")&amp;"."&amp;TEXT(L34,"0")</f>
        <v>3.1.6</v>
      </c>
      <c r="N34" s="15" t="s">
        <v>66</v>
      </c>
    </row>
    <row r="35" spans="2:16" ht="16.2" thickBot="1" x14ac:dyDescent="0.35">
      <c r="B35" s="42"/>
      <c r="C35" s="42"/>
      <c r="D35" s="37"/>
      <c r="E35" s="30"/>
      <c r="F35" s="11" t="s">
        <v>68</v>
      </c>
      <c r="G35" s="22">
        <v>3.23</v>
      </c>
      <c r="H35" s="1">
        <v>3.1</v>
      </c>
      <c r="I35" s="6">
        <v>1</v>
      </c>
      <c r="J35" s="13">
        <v>3</v>
      </c>
      <c r="K35" s="13">
        <v>1</v>
      </c>
      <c r="L35" s="13">
        <v>6</v>
      </c>
      <c r="M35" s="13" t="str">
        <f>TEXT(J35,"0")&amp;"."&amp;TEXT(K35,"0")&amp;"."&amp;TEXT(L35,"0")</f>
        <v>3.1.6</v>
      </c>
      <c r="N35" s="15" t="s">
        <v>69</v>
      </c>
    </row>
    <row r="36" spans="2:16" ht="16.2" thickBot="1" x14ac:dyDescent="0.35">
      <c r="B36" s="42"/>
      <c r="C36" s="42"/>
      <c r="D36" s="37"/>
      <c r="E36" s="30"/>
      <c r="F36" s="11" t="s">
        <v>70</v>
      </c>
      <c r="G36" s="22">
        <v>3.23</v>
      </c>
      <c r="H36" s="1">
        <v>3.1</v>
      </c>
      <c r="I36" s="6">
        <v>1</v>
      </c>
      <c r="J36" s="13">
        <v>3</v>
      </c>
      <c r="K36" s="13">
        <v>1</v>
      </c>
      <c r="L36" s="13">
        <v>6</v>
      </c>
      <c r="M36" s="13" t="str">
        <f t="shared" si="0"/>
        <v>3.1.6</v>
      </c>
      <c r="N36" s="15" t="s">
        <v>71</v>
      </c>
    </row>
    <row r="37" spans="2:16" ht="29.4" thickBot="1" x14ac:dyDescent="0.35">
      <c r="B37" s="42"/>
      <c r="C37" s="42"/>
      <c r="D37" s="37"/>
      <c r="E37" s="30"/>
      <c r="F37" s="11" t="s">
        <v>72</v>
      </c>
      <c r="G37" s="22">
        <v>3.28</v>
      </c>
      <c r="H37" s="1">
        <v>3.5</v>
      </c>
      <c r="I37" s="6">
        <v>1</v>
      </c>
      <c r="J37" s="13">
        <v>3</v>
      </c>
      <c r="K37" s="13">
        <v>1</v>
      </c>
      <c r="L37" s="13">
        <v>6</v>
      </c>
      <c r="M37" s="13" t="str">
        <f t="shared" si="0"/>
        <v>3.1.6</v>
      </c>
      <c r="N37" s="15" t="s">
        <v>73</v>
      </c>
    </row>
    <row r="38" spans="2:16" ht="29.4" thickBot="1" x14ac:dyDescent="0.35">
      <c r="B38" s="42"/>
      <c r="C38" s="42"/>
      <c r="D38" s="37"/>
      <c r="E38" s="31"/>
      <c r="F38" s="11" t="s">
        <v>74</v>
      </c>
      <c r="G38" s="22">
        <v>3.28</v>
      </c>
      <c r="H38" s="1">
        <v>3.5</v>
      </c>
      <c r="I38" s="6">
        <v>1</v>
      </c>
      <c r="J38" s="13">
        <v>3</v>
      </c>
      <c r="K38" s="13">
        <v>1</v>
      </c>
      <c r="L38" s="13">
        <v>6</v>
      </c>
      <c r="M38" s="13" t="str">
        <f t="shared" si="0"/>
        <v>3.1.6</v>
      </c>
      <c r="N38" s="15" t="s">
        <v>73</v>
      </c>
    </row>
    <row r="39" spans="2:16" ht="31.2" customHeight="1" thickBot="1" x14ac:dyDescent="0.35">
      <c r="B39" s="42"/>
      <c r="C39" s="42"/>
      <c r="D39" s="37" t="s">
        <v>7</v>
      </c>
      <c r="E39" s="29" t="str">
        <f>TEXT(J39,"0")&amp;"."&amp;TEXT(K39,"0")&amp;"."&amp;TEXT(L39,"0")</f>
        <v>3.1.7</v>
      </c>
      <c r="F39" s="11" t="s">
        <v>75</v>
      </c>
      <c r="G39" s="22">
        <v>3.25</v>
      </c>
      <c r="H39" s="1">
        <v>4.0999999999999996</v>
      </c>
      <c r="I39" s="6">
        <v>1</v>
      </c>
      <c r="J39" s="13">
        <v>3</v>
      </c>
      <c r="K39" s="13">
        <v>1</v>
      </c>
      <c r="L39" s="13">
        <v>7</v>
      </c>
      <c r="M39" s="13" t="str">
        <f t="shared" si="0"/>
        <v>3.1.7</v>
      </c>
      <c r="N39" s="15" t="s">
        <v>76</v>
      </c>
    </row>
    <row r="40" spans="2:16" ht="30.6" thickBot="1" x14ac:dyDescent="0.4">
      <c r="B40" s="42"/>
      <c r="C40" s="42"/>
      <c r="D40" s="37"/>
      <c r="E40" s="30"/>
      <c r="F40" s="11" t="s">
        <v>77</v>
      </c>
      <c r="G40" s="22">
        <v>3.25</v>
      </c>
      <c r="H40" s="1">
        <v>4.0999999999999996</v>
      </c>
      <c r="I40" s="6">
        <v>1</v>
      </c>
      <c r="J40" s="13">
        <v>3</v>
      </c>
      <c r="K40" s="13">
        <v>1</v>
      </c>
      <c r="L40" s="13">
        <v>7</v>
      </c>
      <c r="M40" s="13" t="str">
        <f>TEXT(J40,"0")&amp;"."&amp;TEXT(K40,"0")&amp;"."&amp;TEXT(L40,"0")</f>
        <v>3.1.7</v>
      </c>
      <c r="N40" s="15" t="s">
        <v>76</v>
      </c>
    </row>
    <row r="41" spans="2:16" ht="30.6" thickBot="1" x14ac:dyDescent="0.35">
      <c r="B41" s="42"/>
      <c r="C41" s="42"/>
      <c r="D41" s="37"/>
      <c r="E41" s="30"/>
      <c r="F41" s="11" t="s">
        <v>78</v>
      </c>
      <c r="G41" s="22">
        <v>3.25</v>
      </c>
      <c r="H41" s="1">
        <v>4.0999999999999996</v>
      </c>
      <c r="I41" s="6">
        <v>1</v>
      </c>
      <c r="J41" s="13">
        <v>3</v>
      </c>
      <c r="K41" s="13">
        <v>1</v>
      </c>
      <c r="L41" s="13">
        <v>7</v>
      </c>
      <c r="M41" s="13" t="str">
        <f>TEXT(J41,"0")&amp;"."&amp;TEXT(K41,"0")&amp;"."&amp;TEXT(L41,"0")</f>
        <v>3.1.7</v>
      </c>
      <c r="N41" s="15" t="s">
        <v>79</v>
      </c>
    </row>
    <row r="42" spans="2:16" ht="33" thickBot="1" x14ac:dyDescent="0.4">
      <c r="B42" s="42"/>
      <c r="C42" s="42"/>
      <c r="D42" s="37"/>
      <c r="E42" s="30"/>
      <c r="F42" s="11" t="s">
        <v>80</v>
      </c>
      <c r="G42" s="22">
        <v>3.26</v>
      </c>
      <c r="H42" s="1">
        <v>4.2</v>
      </c>
      <c r="I42" s="6">
        <v>1</v>
      </c>
      <c r="J42" s="13">
        <v>3</v>
      </c>
      <c r="K42" s="13">
        <v>1</v>
      </c>
      <c r="L42" s="13">
        <v>7</v>
      </c>
      <c r="M42" s="13" t="str">
        <f t="shared" si="0"/>
        <v>3.1.7</v>
      </c>
      <c r="N42" s="15" t="s">
        <v>81</v>
      </c>
    </row>
    <row r="43" spans="2:16" ht="16.2" thickBot="1" x14ac:dyDescent="0.35">
      <c r="B43" s="42"/>
      <c r="C43" s="42"/>
      <c r="D43" s="37"/>
      <c r="E43" s="31"/>
      <c r="F43" s="11" t="s">
        <v>82</v>
      </c>
      <c r="G43" s="22">
        <v>3.26</v>
      </c>
      <c r="H43" s="1">
        <v>4.2</v>
      </c>
      <c r="I43" s="6">
        <v>1</v>
      </c>
      <c r="J43" s="13">
        <v>3</v>
      </c>
      <c r="K43" s="13">
        <v>1</v>
      </c>
      <c r="L43" s="13">
        <v>7</v>
      </c>
      <c r="M43" s="13" t="str">
        <f t="shared" si="0"/>
        <v>3.1.7</v>
      </c>
      <c r="N43" s="15" t="s">
        <v>83</v>
      </c>
    </row>
    <row r="44" spans="2:16" ht="31.2" thickBot="1" x14ac:dyDescent="0.35">
      <c r="B44" s="42"/>
      <c r="C44" s="42"/>
      <c r="D44" s="37" t="s">
        <v>84</v>
      </c>
      <c r="E44" s="29" t="str">
        <f>TEXT(J44,"0")&amp;"."&amp;TEXT(K44,"0")&amp;"."&amp;TEXT(L44,"0")</f>
        <v>3.1.8</v>
      </c>
      <c r="F44" s="11" t="s">
        <v>85</v>
      </c>
      <c r="G44" s="22">
        <v>3.27</v>
      </c>
      <c r="H44" s="1">
        <v>4.4000000000000004</v>
      </c>
      <c r="I44" s="6">
        <v>1</v>
      </c>
      <c r="J44" s="13">
        <v>3</v>
      </c>
      <c r="K44" s="13">
        <v>1</v>
      </c>
      <c r="L44" s="13">
        <v>8</v>
      </c>
      <c r="M44" s="13" t="str">
        <f t="shared" si="0"/>
        <v>3.1.8</v>
      </c>
      <c r="N44" s="15" t="s">
        <v>86</v>
      </c>
      <c r="P44" t="s">
        <v>241</v>
      </c>
    </row>
    <row r="45" spans="2:16" ht="16.8" thickBot="1" x14ac:dyDescent="0.4">
      <c r="B45" s="42"/>
      <c r="C45" s="42"/>
      <c r="D45" s="37"/>
      <c r="E45" s="30"/>
      <c r="F45" s="11" t="s">
        <v>87</v>
      </c>
      <c r="G45" s="22">
        <v>3.27</v>
      </c>
      <c r="H45" s="1">
        <v>4.4000000000000004</v>
      </c>
      <c r="I45" s="6">
        <v>1</v>
      </c>
      <c r="J45" s="13">
        <v>3</v>
      </c>
      <c r="K45" s="13">
        <v>1</v>
      </c>
      <c r="L45" s="13">
        <v>8</v>
      </c>
      <c r="M45" s="13" t="str">
        <f>TEXT(J45,"0")&amp;"."&amp;TEXT(K45,"0")&amp;"."&amp;TEXT(L45,"0")</f>
        <v>3.1.8</v>
      </c>
      <c r="N45" s="15" t="s">
        <v>88</v>
      </c>
      <c r="P45" t="s">
        <v>241</v>
      </c>
    </row>
    <row r="46" spans="2:16" ht="31.8" thickBot="1" x14ac:dyDescent="0.4">
      <c r="B46" s="42"/>
      <c r="C46" s="42"/>
      <c r="D46" s="37"/>
      <c r="E46" s="30"/>
      <c r="F46" s="11" t="s">
        <v>89</v>
      </c>
      <c r="G46" s="22">
        <v>3.27</v>
      </c>
      <c r="H46" s="1">
        <v>4.4000000000000004</v>
      </c>
      <c r="I46" s="6">
        <v>1</v>
      </c>
      <c r="J46" s="13">
        <v>3</v>
      </c>
      <c r="K46" s="13">
        <v>1</v>
      </c>
      <c r="L46" s="13">
        <v>8</v>
      </c>
      <c r="M46" s="13" t="str">
        <f t="shared" si="0"/>
        <v>3.1.8</v>
      </c>
      <c r="N46" s="16" t="s">
        <v>90</v>
      </c>
      <c r="P46" t="s">
        <v>241</v>
      </c>
    </row>
    <row r="47" spans="2:16" ht="30.6" thickBot="1" x14ac:dyDescent="0.4">
      <c r="B47" s="42"/>
      <c r="C47" s="42"/>
      <c r="D47" s="37"/>
      <c r="E47" s="31"/>
      <c r="F47" s="11" t="s">
        <v>91</v>
      </c>
      <c r="G47" s="22">
        <v>3.27</v>
      </c>
      <c r="H47" s="1">
        <v>4.4000000000000004</v>
      </c>
      <c r="I47" s="6">
        <v>1</v>
      </c>
      <c r="J47" s="13">
        <v>3</v>
      </c>
      <c r="K47" s="13">
        <v>1</v>
      </c>
      <c r="L47" s="13">
        <v>8</v>
      </c>
      <c r="M47" s="13" t="str">
        <f t="shared" si="0"/>
        <v>3.1.8</v>
      </c>
      <c r="N47" s="15" t="s">
        <v>88</v>
      </c>
      <c r="P47" t="s">
        <v>241</v>
      </c>
    </row>
    <row r="48" spans="2:16" ht="16.2" thickBot="1" x14ac:dyDescent="0.35">
      <c r="B48" s="42"/>
      <c r="C48" s="42"/>
      <c r="D48" s="37" t="s">
        <v>92</v>
      </c>
      <c r="E48" s="29" t="str">
        <f>TEXT(J48,"0")&amp;"."&amp;TEXT(K48,"0")&amp;"."&amp;TEXT(L48,"0")</f>
        <v>3.1.9</v>
      </c>
      <c r="F48" s="11" t="s">
        <v>93</v>
      </c>
      <c r="G48" s="22">
        <v>3.27</v>
      </c>
      <c r="H48" s="1">
        <v>5.0999999999999996</v>
      </c>
      <c r="I48" s="6">
        <v>1</v>
      </c>
      <c r="J48" s="13">
        <v>3</v>
      </c>
      <c r="K48" s="13">
        <v>1</v>
      </c>
      <c r="L48" s="13">
        <v>9</v>
      </c>
      <c r="M48" s="13" t="str">
        <f t="shared" si="0"/>
        <v>3.1.9</v>
      </c>
      <c r="N48" s="15" t="s">
        <v>94</v>
      </c>
      <c r="P48" t="s">
        <v>241</v>
      </c>
    </row>
    <row r="49" spans="2:14" ht="31.8" thickBot="1" x14ac:dyDescent="0.35">
      <c r="B49" s="42"/>
      <c r="C49" s="42"/>
      <c r="D49" s="37"/>
      <c r="E49" s="30"/>
      <c r="F49" s="11" t="s">
        <v>95</v>
      </c>
      <c r="G49" s="22">
        <v>3.28</v>
      </c>
      <c r="H49" s="1" t="s">
        <v>228</v>
      </c>
      <c r="I49" s="6">
        <v>1</v>
      </c>
      <c r="J49" s="13">
        <v>3</v>
      </c>
      <c r="K49" s="13">
        <v>1</v>
      </c>
      <c r="L49" s="13">
        <v>9</v>
      </c>
      <c r="M49" s="13" t="str">
        <f t="shared" si="0"/>
        <v>3.1.9</v>
      </c>
      <c r="N49" s="16" t="s">
        <v>96</v>
      </c>
    </row>
    <row r="50" spans="2:14" ht="30.6" thickBot="1" x14ac:dyDescent="0.4">
      <c r="B50" s="42"/>
      <c r="C50" s="42"/>
      <c r="D50" s="37"/>
      <c r="E50" s="30"/>
      <c r="F50" s="11" t="s">
        <v>97</v>
      </c>
      <c r="G50" s="22">
        <v>3.28</v>
      </c>
      <c r="H50" s="1">
        <v>5.2</v>
      </c>
      <c r="I50" s="6">
        <v>1</v>
      </c>
      <c r="J50" s="13">
        <v>3</v>
      </c>
      <c r="K50" s="13">
        <v>1</v>
      </c>
      <c r="L50" s="13">
        <v>9</v>
      </c>
      <c r="M50" s="13" t="str">
        <f>TEXT(J50,"0")&amp;"."&amp;TEXT(K50,"0")&amp;"."&amp;TEXT(L50,"0")</f>
        <v>3.1.9</v>
      </c>
      <c r="N50" s="15" t="s">
        <v>98</v>
      </c>
    </row>
    <row r="51" spans="2:14" ht="29.4" thickBot="1" x14ac:dyDescent="0.35">
      <c r="B51" s="42"/>
      <c r="C51" s="42"/>
      <c r="D51" s="37"/>
      <c r="E51" s="30"/>
      <c r="F51" s="11" t="s">
        <v>99</v>
      </c>
      <c r="G51" s="22">
        <v>3.28</v>
      </c>
      <c r="H51" s="1">
        <v>5.4</v>
      </c>
      <c r="I51" s="6">
        <v>1</v>
      </c>
      <c r="J51" s="13">
        <v>3</v>
      </c>
      <c r="K51" s="13">
        <v>1</v>
      </c>
      <c r="L51" s="13">
        <v>9</v>
      </c>
      <c r="M51" s="13" t="str">
        <f>TEXT(J51,"0")&amp;"."&amp;TEXT(K51,"0")&amp;"."&amp;TEXT(L51,"0")</f>
        <v>3.1.9</v>
      </c>
      <c r="N51" s="15" t="s">
        <v>100</v>
      </c>
    </row>
    <row r="52" spans="2:14" ht="31.8" thickBot="1" x14ac:dyDescent="0.35">
      <c r="B52" s="42"/>
      <c r="C52" s="42"/>
      <c r="D52" s="37"/>
      <c r="E52" s="30"/>
      <c r="F52" s="11" t="s">
        <v>101</v>
      </c>
      <c r="G52" s="22">
        <v>3.28</v>
      </c>
      <c r="H52" s="1" t="s">
        <v>228</v>
      </c>
      <c r="I52" s="6">
        <v>1</v>
      </c>
      <c r="J52" s="13">
        <v>3</v>
      </c>
      <c r="K52" s="13">
        <v>1</v>
      </c>
      <c r="L52" s="13">
        <v>9</v>
      </c>
      <c r="M52" s="13" t="str">
        <f t="shared" si="0"/>
        <v>3.1.9</v>
      </c>
      <c r="N52" s="16" t="s">
        <v>102</v>
      </c>
    </row>
    <row r="53" spans="2:14" ht="35.4" customHeight="1" thickBot="1" x14ac:dyDescent="0.35">
      <c r="B53" s="42"/>
      <c r="C53" s="47"/>
      <c r="D53" s="37"/>
      <c r="E53" s="31"/>
      <c r="F53" s="11" t="s">
        <v>103</v>
      </c>
      <c r="G53" s="22">
        <v>3.29</v>
      </c>
      <c r="H53" s="1" t="s">
        <v>228</v>
      </c>
      <c r="I53" s="6">
        <v>1</v>
      </c>
      <c r="J53" s="13">
        <v>3</v>
      </c>
      <c r="K53" s="13">
        <v>1</v>
      </c>
      <c r="L53" s="13">
        <v>9</v>
      </c>
      <c r="M53" s="13" t="str">
        <f t="shared" si="0"/>
        <v>3.1.9</v>
      </c>
      <c r="N53" s="15" t="s">
        <v>104</v>
      </c>
    </row>
    <row r="54" spans="2:14" ht="45" customHeight="1" thickBot="1" x14ac:dyDescent="0.35">
      <c r="B54" s="42"/>
      <c r="C54" s="41" t="s">
        <v>105</v>
      </c>
      <c r="D54" s="37" t="s">
        <v>106</v>
      </c>
      <c r="E54" s="29" t="str">
        <f>TEXT(J54,"0")&amp;"."&amp;TEXT(K54,"0")&amp;"."&amp;TEXT(L54,"0")</f>
        <v>3.2.1</v>
      </c>
      <c r="F54" s="11" t="s">
        <v>107</v>
      </c>
      <c r="G54" s="22">
        <v>3.05</v>
      </c>
      <c r="H54" s="1">
        <v>6.1</v>
      </c>
      <c r="I54" s="6">
        <v>1</v>
      </c>
      <c r="J54" s="13">
        <v>3</v>
      </c>
      <c r="K54" s="13">
        <v>2</v>
      </c>
      <c r="L54" s="13">
        <v>1</v>
      </c>
      <c r="M54" s="13" t="str">
        <f t="shared" si="0"/>
        <v>3.2.1</v>
      </c>
      <c r="N54" s="15" t="s">
        <v>108</v>
      </c>
    </row>
    <row r="55" spans="2:14" ht="29.4" thickBot="1" x14ac:dyDescent="0.35">
      <c r="B55" s="42"/>
      <c r="C55" s="42"/>
      <c r="D55" s="37"/>
      <c r="E55" s="30"/>
      <c r="F55" s="11" t="s">
        <v>109</v>
      </c>
      <c r="G55" s="22">
        <v>3.06</v>
      </c>
      <c r="H55" s="1">
        <v>6.1</v>
      </c>
      <c r="I55" s="6">
        <v>1</v>
      </c>
      <c r="J55" s="13">
        <v>3</v>
      </c>
      <c r="K55" s="13">
        <v>2</v>
      </c>
      <c r="L55" s="13">
        <v>1</v>
      </c>
      <c r="M55" s="13" t="str">
        <f t="shared" si="0"/>
        <v>3.2.1</v>
      </c>
      <c r="N55" s="15" t="s">
        <v>110</v>
      </c>
    </row>
    <row r="56" spans="2:14" ht="43.8" thickBot="1" x14ac:dyDescent="0.35">
      <c r="B56" s="42"/>
      <c r="C56" s="42"/>
      <c r="D56" s="37"/>
      <c r="E56" s="30"/>
      <c r="F56" s="11" t="s">
        <v>111</v>
      </c>
      <c r="G56" s="22">
        <v>3.07</v>
      </c>
      <c r="H56" s="1">
        <v>6.3</v>
      </c>
      <c r="I56" s="6">
        <v>1</v>
      </c>
      <c r="J56" s="13">
        <v>3</v>
      </c>
      <c r="K56" s="13">
        <v>2</v>
      </c>
      <c r="L56" s="13">
        <v>1</v>
      </c>
      <c r="M56" s="13" t="str">
        <f t="shared" si="0"/>
        <v>3.2.1</v>
      </c>
      <c r="N56" s="15" t="s">
        <v>112</v>
      </c>
    </row>
    <row r="57" spans="2:14" ht="29.4" thickBot="1" x14ac:dyDescent="0.35">
      <c r="B57" s="42"/>
      <c r="C57" s="42"/>
      <c r="D57" s="37"/>
      <c r="E57" s="30"/>
      <c r="F57" s="11" t="s">
        <v>113</v>
      </c>
      <c r="G57" s="22">
        <v>3.05</v>
      </c>
      <c r="H57" s="1">
        <v>6.2</v>
      </c>
      <c r="I57" s="6">
        <v>1</v>
      </c>
      <c r="J57" s="13">
        <v>3</v>
      </c>
      <c r="K57" s="13">
        <v>2</v>
      </c>
      <c r="L57" s="13">
        <v>1</v>
      </c>
      <c r="M57" s="13" t="str">
        <f t="shared" si="0"/>
        <v>3.2.1</v>
      </c>
      <c r="N57" s="15" t="s">
        <v>114</v>
      </c>
    </row>
    <row r="58" spans="2:14" ht="16.2" thickBot="1" x14ac:dyDescent="0.35">
      <c r="B58" s="42"/>
      <c r="C58" s="42"/>
      <c r="D58" s="37"/>
      <c r="E58" s="30"/>
      <c r="F58" s="11" t="s">
        <v>115</v>
      </c>
      <c r="G58" s="22">
        <v>3.05</v>
      </c>
      <c r="H58" s="1">
        <v>6.2</v>
      </c>
      <c r="I58" s="6">
        <v>1</v>
      </c>
      <c r="J58" s="13">
        <v>3</v>
      </c>
      <c r="K58" s="13">
        <v>2</v>
      </c>
      <c r="L58" s="13">
        <v>1</v>
      </c>
      <c r="M58" s="13" t="str">
        <f>TEXT(J58,"0")&amp;"."&amp;TEXT(K58,"0")&amp;"."&amp;TEXT(L58,"0")</f>
        <v>3.2.1</v>
      </c>
      <c r="N58" s="15" t="s">
        <v>114</v>
      </c>
    </row>
    <row r="59" spans="2:14" ht="29.4" thickBot="1" x14ac:dyDescent="0.35">
      <c r="B59" s="42"/>
      <c r="C59" s="42"/>
      <c r="D59" s="37"/>
      <c r="E59" s="30"/>
      <c r="F59" s="11" t="s">
        <v>116</v>
      </c>
      <c r="G59" s="22">
        <v>3.06</v>
      </c>
      <c r="H59" s="1">
        <v>6.3</v>
      </c>
      <c r="I59" s="6">
        <v>1</v>
      </c>
      <c r="J59" s="13">
        <v>3</v>
      </c>
      <c r="K59" s="13">
        <v>2</v>
      </c>
      <c r="L59" s="13">
        <v>1</v>
      </c>
      <c r="M59" s="13" t="str">
        <f t="shared" si="0"/>
        <v>3.2.1</v>
      </c>
      <c r="N59" s="15" t="s">
        <v>112</v>
      </c>
    </row>
    <row r="60" spans="2:14" ht="29.4" thickBot="1" x14ac:dyDescent="0.35">
      <c r="B60" s="42"/>
      <c r="C60" s="42"/>
      <c r="D60" s="37"/>
      <c r="E60" s="31"/>
      <c r="F60" s="11" t="s">
        <v>117</v>
      </c>
      <c r="G60" s="22">
        <v>3.06</v>
      </c>
      <c r="H60" s="1">
        <v>6.3</v>
      </c>
      <c r="I60" s="6">
        <v>1</v>
      </c>
      <c r="J60" s="13">
        <v>3</v>
      </c>
      <c r="K60" s="13">
        <v>2</v>
      </c>
      <c r="L60" s="13">
        <v>1</v>
      </c>
      <c r="M60" s="13" t="str">
        <f t="shared" si="0"/>
        <v>3.2.1</v>
      </c>
      <c r="N60" s="16" t="s">
        <v>108</v>
      </c>
    </row>
    <row r="61" spans="2:14" ht="43.8" thickBot="1" x14ac:dyDescent="0.35">
      <c r="B61" s="42"/>
      <c r="C61" s="42"/>
      <c r="D61" s="27" t="s">
        <v>118</v>
      </c>
      <c r="E61" s="27" t="str">
        <f>TEXT(J61,"0")&amp;"."&amp;TEXT(K61,"0")&amp;"."&amp;TEXT(L61,"0")</f>
        <v>3.2.2</v>
      </c>
      <c r="F61" s="11" t="s">
        <v>119</v>
      </c>
      <c r="G61" s="22" t="s">
        <v>240</v>
      </c>
      <c r="H61" s="1">
        <v>7.1</v>
      </c>
      <c r="I61" s="6">
        <v>1</v>
      </c>
      <c r="J61" s="13">
        <v>3</v>
      </c>
      <c r="K61" s="13">
        <v>2</v>
      </c>
      <c r="L61" s="13">
        <v>2</v>
      </c>
      <c r="M61" s="13" t="str">
        <f t="shared" si="0"/>
        <v>3.2.2</v>
      </c>
      <c r="N61" s="16" t="s">
        <v>120</v>
      </c>
    </row>
    <row r="62" spans="2:14" ht="16.2" thickBot="1" x14ac:dyDescent="0.35">
      <c r="B62" s="42"/>
      <c r="C62" s="42"/>
      <c r="D62" s="28"/>
      <c r="E62" s="28"/>
      <c r="F62" s="11" t="s">
        <v>121</v>
      </c>
      <c r="G62" s="22" t="s">
        <v>240</v>
      </c>
      <c r="H62" s="1">
        <v>7.1</v>
      </c>
      <c r="I62" s="6">
        <v>1</v>
      </c>
      <c r="J62" s="13">
        <v>3</v>
      </c>
      <c r="K62" s="13">
        <v>2</v>
      </c>
      <c r="L62" s="13">
        <v>2</v>
      </c>
      <c r="M62" s="13" t="str">
        <f>TEXT(J62,"0")&amp;"."&amp;TEXT(K62,"0")&amp;"."&amp;TEXT(L62,"0")</f>
        <v>3.2.2</v>
      </c>
      <c r="N62" s="16" t="s">
        <v>100</v>
      </c>
    </row>
    <row r="63" spans="2:14" ht="37.200000000000003" customHeight="1" thickBot="1" x14ac:dyDescent="0.35">
      <c r="B63" s="42"/>
      <c r="C63" s="42"/>
      <c r="D63" s="37" t="s">
        <v>122</v>
      </c>
      <c r="E63" s="29" t="str">
        <f>TEXT(J63,"0")&amp;"."&amp;TEXT(K63,"0")&amp;"."&amp;TEXT(L63,"0")</f>
        <v>3.2.3</v>
      </c>
      <c r="F63" s="11" t="s">
        <v>123</v>
      </c>
      <c r="G63" s="22">
        <v>3.09</v>
      </c>
      <c r="H63" s="1">
        <v>7.1</v>
      </c>
      <c r="I63" s="6">
        <v>1</v>
      </c>
      <c r="J63" s="13">
        <v>3</v>
      </c>
      <c r="K63" s="13">
        <v>2</v>
      </c>
      <c r="L63" s="13">
        <v>3</v>
      </c>
      <c r="M63" s="13" t="str">
        <f t="shared" si="0"/>
        <v>3.2.3</v>
      </c>
      <c r="N63" s="16" t="s">
        <v>124</v>
      </c>
    </row>
    <row r="64" spans="2:14" ht="29.4" thickBot="1" x14ac:dyDescent="0.35">
      <c r="B64" s="42"/>
      <c r="C64" s="42"/>
      <c r="D64" s="37"/>
      <c r="E64" s="30"/>
      <c r="F64" s="11" t="s">
        <v>125</v>
      </c>
      <c r="G64" s="22">
        <v>3.09</v>
      </c>
      <c r="H64" s="1">
        <v>7.1</v>
      </c>
      <c r="I64" s="6">
        <v>1</v>
      </c>
      <c r="J64" s="13">
        <v>3</v>
      </c>
      <c r="K64" s="13">
        <v>2</v>
      </c>
      <c r="L64" s="13">
        <v>3</v>
      </c>
      <c r="M64" s="13" t="str">
        <f>TEXT(J64,"0")&amp;"."&amp;TEXT(K64,"0")&amp;"."&amp;TEXT(L64,"0")</f>
        <v>3.2.3</v>
      </c>
      <c r="N64" s="16" t="s">
        <v>124</v>
      </c>
    </row>
    <row r="65" spans="2:14" ht="29.4" thickBot="1" x14ac:dyDescent="0.35">
      <c r="B65" s="42"/>
      <c r="C65" s="42"/>
      <c r="D65" s="37"/>
      <c r="E65" s="30"/>
      <c r="F65" s="11" t="s">
        <v>126</v>
      </c>
      <c r="G65" s="22">
        <v>3.09</v>
      </c>
      <c r="H65" s="1">
        <v>7.1</v>
      </c>
      <c r="I65" s="6">
        <v>1</v>
      </c>
      <c r="J65" s="13">
        <v>3</v>
      </c>
      <c r="K65" s="13">
        <v>2</v>
      </c>
      <c r="L65" s="13">
        <v>3</v>
      </c>
      <c r="M65" s="13" t="str">
        <f>TEXT(J65,"0")&amp;"."&amp;TEXT(K65,"0")&amp;"."&amp;TEXT(L65,"0")</f>
        <v>3.2.3</v>
      </c>
      <c r="N65" s="16" t="s">
        <v>127</v>
      </c>
    </row>
    <row r="66" spans="2:14" ht="29.4" thickBot="1" x14ac:dyDescent="0.35">
      <c r="B66" s="42"/>
      <c r="C66" s="42"/>
      <c r="D66" s="37"/>
      <c r="E66" s="30"/>
      <c r="F66" s="11" t="s">
        <v>128</v>
      </c>
      <c r="G66" s="22">
        <v>3.09</v>
      </c>
      <c r="H66" s="1">
        <v>7.1</v>
      </c>
      <c r="I66" s="6">
        <v>1</v>
      </c>
      <c r="J66" s="13">
        <v>3</v>
      </c>
      <c r="K66" s="13">
        <v>2</v>
      </c>
      <c r="L66" s="13">
        <v>3</v>
      </c>
      <c r="M66" s="13" t="str">
        <f>TEXT(J66,"0")&amp;"."&amp;TEXT(K66,"0")&amp;"."&amp;TEXT(L66,"0")</f>
        <v>3.2.3</v>
      </c>
      <c r="N66" s="16" t="s">
        <v>100</v>
      </c>
    </row>
    <row r="67" spans="2:14" ht="43.8" thickBot="1" x14ac:dyDescent="0.35">
      <c r="B67" s="42"/>
      <c r="C67" s="42"/>
      <c r="D67" s="37"/>
      <c r="E67" s="30"/>
      <c r="F67" s="11" t="s">
        <v>129</v>
      </c>
      <c r="G67" s="22">
        <v>3.09</v>
      </c>
      <c r="H67" s="1">
        <v>7.1</v>
      </c>
      <c r="I67" s="6">
        <v>1</v>
      </c>
      <c r="J67" s="13">
        <v>3</v>
      </c>
      <c r="K67" s="13">
        <v>2</v>
      </c>
      <c r="L67" s="13">
        <v>3</v>
      </c>
      <c r="M67" s="13" t="str">
        <f t="shared" si="0"/>
        <v>3.2.3</v>
      </c>
      <c r="N67" s="18" t="s">
        <v>130</v>
      </c>
    </row>
    <row r="68" spans="2:14" ht="16.2" thickBot="1" x14ac:dyDescent="0.35">
      <c r="B68" s="42"/>
      <c r="C68" s="42"/>
      <c r="D68" s="37"/>
      <c r="E68" s="31"/>
      <c r="F68" s="11" t="s">
        <v>131</v>
      </c>
      <c r="G68" s="22">
        <v>3.09</v>
      </c>
      <c r="H68" s="1">
        <v>7.1</v>
      </c>
      <c r="I68" s="6">
        <v>1</v>
      </c>
      <c r="J68" s="13">
        <v>3</v>
      </c>
      <c r="K68" s="13">
        <v>2</v>
      </c>
      <c r="L68" s="13">
        <v>3</v>
      </c>
      <c r="M68" s="13" t="str">
        <f t="shared" si="0"/>
        <v>3.2.3</v>
      </c>
      <c r="N68" s="18" t="s">
        <v>100</v>
      </c>
    </row>
    <row r="69" spans="2:14" ht="16.2" thickBot="1" x14ac:dyDescent="0.35">
      <c r="B69" s="42"/>
      <c r="C69" s="42"/>
      <c r="D69" s="37" t="s">
        <v>132</v>
      </c>
      <c r="E69" s="29" t="str">
        <f>TEXT(J69,"0")&amp;"."&amp;TEXT(K69,"0")&amp;"."&amp;TEXT(L69,"0")</f>
        <v>3.2.4</v>
      </c>
      <c r="F69" s="11" t="s">
        <v>133</v>
      </c>
      <c r="G69" s="26">
        <v>3.1</v>
      </c>
      <c r="H69" s="1">
        <v>7.2</v>
      </c>
      <c r="I69" s="6">
        <v>1</v>
      </c>
      <c r="J69" s="13">
        <v>3</v>
      </c>
      <c r="K69" s="13">
        <v>2</v>
      </c>
      <c r="L69" s="13">
        <v>4</v>
      </c>
      <c r="M69" s="13" t="str">
        <f t="shared" si="0"/>
        <v>3.2.4</v>
      </c>
      <c r="N69" s="16" t="s">
        <v>100</v>
      </c>
    </row>
    <row r="70" spans="2:14" ht="16.8" thickBot="1" x14ac:dyDescent="0.35">
      <c r="B70" s="42"/>
      <c r="C70" s="42"/>
      <c r="D70" s="37"/>
      <c r="E70" s="30"/>
      <c r="F70" s="11" t="s">
        <v>134</v>
      </c>
      <c r="G70" s="26">
        <v>3.1</v>
      </c>
      <c r="H70" s="1">
        <v>7.2</v>
      </c>
      <c r="I70" s="6">
        <v>1</v>
      </c>
      <c r="J70" s="13">
        <v>3</v>
      </c>
      <c r="K70" s="13">
        <v>2</v>
      </c>
      <c r="L70" s="13">
        <v>4</v>
      </c>
      <c r="M70" s="13" t="str">
        <f t="shared" si="0"/>
        <v>3.2.4</v>
      </c>
      <c r="N70" s="16" t="s">
        <v>100</v>
      </c>
    </row>
    <row r="71" spans="2:14" ht="16.8" thickBot="1" x14ac:dyDescent="0.35">
      <c r="B71" s="42"/>
      <c r="C71" s="42"/>
      <c r="D71" s="37"/>
      <c r="E71" s="30"/>
      <c r="F71" s="11" t="s">
        <v>135</v>
      </c>
      <c r="G71" s="26">
        <v>3.1</v>
      </c>
      <c r="H71" s="1">
        <v>7.2</v>
      </c>
      <c r="I71" s="6">
        <v>1</v>
      </c>
      <c r="J71" s="13">
        <v>3</v>
      </c>
      <c r="K71" s="13">
        <v>2</v>
      </c>
      <c r="L71" s="13">
        <v>4</v>
      </c>
      <c r="M71" s="13" t="str">
        <f>TEXT(J71,"0")&amp;"."&amp;TEXT(K71,"0")&amp;"."&amp;TEXT(L71,"0")</f>
        <v>3.2.4</v>
      </c>
      <c r="N71" s="16" t="s">
        <v>136</v>
      </c>
    </row>
    <row r="72" spans="2:14" ht="17.399999999999999" thickBot="1" x14ac:dyDescent="0.4">
      <c r="B72" s="42"/>
      <c r="C72" s="42"/>
      <c r="D72" s="37"/>
      <c r="E72" s="30"/>
      <c r="F72" s="11" t="s">
        <v>137</v>
      </c>
      <c r="G72" s="26">
        <v>3.1</v>
      </c>
      <c r="H72" s="1">
        <v>7.2</v>
      </c>
      <c r="I72" s="6">
        <v>1</v>
      </c>
      <c r="J72" s="13">
        <v>3</v>
      </c>
      <c r="K72" s="13">
        <v>2</v>
      </c>
      <c r="L72" s="13">
        <v>4</v>
      </c>
      <c r="M72" s="13" t="str">
        <f>TEXT(J72,"0")&amp;"."&amp;TEXT(K72,"0")&amp;"."&amp;TEXT(L72,"0")</f>
        <v>3.2.4</v>
      </c>
      <c r="N72" s="16" t="s">
        <v>138</v>
      </c>
    </row>
    <row r="73" spans="2:14" ht="39.6" customHeight="1" thickBot="1" x14ac:dyDescent="0.35">
      <c r="B73" s="42"/>
      <c r="C73" s="42"/>
      <c r="D73" s="37"/>
      <c r="E73" s="30"/>
      <c r="F73" s="11" t="s">
        <v>139</v>
      </c>
      <c r="G73" s="26">
        <v>3.1</v>
      </c>
      <c r="H73" s="1">
        <v>7.2</v>
      </c>
      <c r="I73" s="6">
        <v>1</v>
      </c>
      <c r="J73" s="13">
        <v>3</v>
      </c>
      <c r="K73" s="13">
        <v>2</v>
      </c>
      <c r="L73" s="13">
        <v>4</v>
      </c>
      <c r="M73" s="13" t="str">
        <f>TEXT(J73,"0")&amp;"."&amp;TEXT(K73,"0")&amp;"."&amp;TEXT(L73,"0")</f>
        <v>3.2.4</v>
      </c>
      <c r="N73" s="15" t="s">
        <v>140</v>
      </c>
    </row>
    <row r="74" spans="2:14" ht="29.4" thickBot="1" x14ac:dyDescent="0.35">
      <c r="B74" s="42"/>
      <c r="C74" s="42"/>
      <c r="D74" s="37"/>
      <c r="E74" s="31"/>
      <c r="F74" s="11" t="s">
        <v>141</v>
      </c>
      <c r="G74" s="26">
        <v>3.1</v>
      </c>
      <c r="H74" s="1">
        <v>7.2</v>
      </c>
      <c r="I74" s="6">
        <v>1</v>
      </c>
      <c r="J74" s="13">
        <v>3</v>
      </c>
      <c r="K74" s="13">
        <v>2</v>
      </c>
      <c r="L74" s="13">
        <v>4</v>
      </c>
      <c r="M74" s="13" t="str">
        <f t="shared" si="0"/>
        <v>3.2.4</v>
      </c>
      <c r="N74" s="16" t="s">
        <v>138</v>
      </c>
    </row>
    <row r="75" spans="2:14" ht="29.4" thickBot="1" x14ac:dyDescent="0.35">
      <c r="B75" s="42"/>
      <c r="C75" s="42"/>
      <c r="D75" s="37" t="s">
        <v>142</v>
      </c>
      <c r="E75" s="29" t="str">
        <f>TEXT(J75,"0")&amp;"."&amp;TEXT(K75,"0")&amp;"."&amp;TEXT(L75,"0")</f>
        <v>3.2.5</v>
      </c>
      <c r="F75" s="11" t="s">
        <v>143</v>
      </c>
      <c r="G75" s="22">
        <v>3.16</v>
      </c>
      <c r="H75" s="1">
        <v>8.1</v>
      </c>
      <c r="I75" s="6">
        <v>1</v>
      </c>
      <c r="J75" s="13">
        <v>3</v>
      </c>
      <c r="K75" s="13">
        <v>2</v>
      </c>
      <c r="L75" s="13">
        <v>5</v>
      </c>
      <c r="M75" s="13" t="str">
        <f t="shared" si="0"/>
        <v>3.2.5</v>
      </c>
      <c r="N75" s="15" t="s">
        <v>144</v>
      </c>
    </row>
    <row r="76" spans="2:14" ht="29.4" thickBot="1" x14ac:dyDescent="0.35">
      <c r="B76" s="42"/>
      <c r="C76" s="42"/>
      <c r="D76" s="37"/>
      <c r="E76" s="30"/>
      <c r="F76" s="11" t="s">
        <v>145</v>
      </c>
      <c r="G76" s="22">
        <v>3.16</v>
      </c>
      <c r="H76" s="1">
        <v>8.1</v>
      </c>
      <c r="I76" s="6">
        <v>1</v>
      </c>
      <c r="J76" s="13">
        <v>3</v>
      </c>
      <c r="K76" s="13">
        <v>2</v>
      </c>
      <c r="L76" s="13">
        <v>5</v>
      </c>
      <c r="M76" s="13" t="str">
        <f t="shared" si="0"/>
        <v>3.2.5</v>
      </c>
      <c r="N76" s="16" t="s">
        <v>146</v>
      </c>
    </row>
    <row r="77" spans="2:14" ht="16.2" thickBot="1" x14ac:dyDescent="0.35">
      <c r="B77" s="42"/>
      <c r="C77" s="42"/>
      <c r="D77" s="37"/>
      <c r="E77" s="30"/>
      <c r="F77" s="11" t="s">
        <v>147</v>
      </c>
      <c r="G77" s="22">
        <v>3.16</v>
      </c>
      <c r="H77" s="1">
        <v>8.1</v>
      </c>
      <c r="I77" s="6">
        <v>1</v>
      </c>
      <c r="J77" s="13">
        <v>3</v>
      </c>
      <c r="K77" s="13">
        <v>2</v>
      </c>
      <c r="L77" s="13">
        <v>5</v>
      </c>
      <c r="M77" s="13" t="str">
        <f>TEXT(J77,"0")&amp;"."&amp;TEXT(K77,"0")&amp;"."&amp;TEXT(L77,"0")</f>
        <v>3.2.5</v>
      </c>
      <c r="N77" s="16" t="s">
        <v>100</v>
      </c>
    </row>
    <row r="78" spans="2:14" ht="16.2" thickBot="1" x14ac:dyDescent="0.35">
      <c r="B78" s="42"/>
      <c r="C78" s="42"/>
      <c r="D78" s="37"/>
      <c r="E78" s="30"/>
      <c r="F78" s="11" t="s">
        <v>148</v>
      </c>
      <c r="G78" s="22">
        <v>3.16</v>
      </c>
      <c r="H78" s="1">
        <v>8.1</v>
      </c>
      <c r="I78" s="6">
        <v>1</v>
      </c>
      <c r="J78" s="13">
        <v>3</v>
      </c>
      <c r="K78" s="13">
        <v>2</v>
      </c>
      <c r="L78" s="13">
        <v>5</v>
      </c>
      <c r="M78" s="13" t="str">
        <f>TEXT(J78,"0")&amp;"."&amp;TEXT(K78,"0")&amp;"."&amp;TEXT(L78,"0")</f>
        <v>3.2.5</v>
      </c>
      <c r="N78" s="16" t="s">
        <v>149</v>
      </c>
    </row>
    <row r="79" spans="2:14" ht="29.4" thickBot="1" x14ac:dyDescent="0.35">
      <c r="B79" s="42"/>
      <c r="C79" s="42"/>
      <c r="D79" s="37"/>
      <c r="E79" s="30"/>
      <c r="F79" s="11" t="s">
        <v>150</v>
      </c>
      <c r="G79" s="22">
        <v>3.16</v>
      </c>
      <c r="H79" s="1">
        <v>8.1</v>
      </c>
      <c r="I79" s="6">
        <v>1</v>
      </c>
      <c r="J79" s="13">
        <v>3</v>
      </c>
      <c r="K79" s="13">
        <v>2</v>
      </c>
      <c r="L79" s="13">
        <v>5</v>
      </c>
      <c r="M79" s="13" t="str">
        <f>TEXT(J79,"0")&amp;"."&amp;TEXT(K79,"0")&amp;"."&amp;TEXT(L79,"0")</f>
        <v>3.2.5</v>
      </c>
      <c r="N79" s="16" t="s">
        <v>149</v>
      </c>
    </row>
    <row r="80" spans="2:14" ht="29.4" thickBot="1" x14ac:dyDescent="0.35">
      <c r="B80" s="42"/>
      <c r="C80" s="42"/>
      <c r="D80" s="37"/>
      <c r="E80" s="30"/>
      <c r="F80" s="11" t="s">
        <v>151</v>
      </c>
      <c r="G80" s="22">
        <v>3.17</v>
      </c>
      <c r="H80" s="1">
        <v>8.1</v>
      </c>
      <c r="I80" s="6">
        <v>1</v>
      </c>
      <c r="J80" s="13">
        <v>3</v>
      </c>
      <c r="K80" s="13">
        <v>2</v>
      </c>
      <c r="L80" s="13">
        <v>5</v>
      </c>
      <c r="M80" s="13" t="str">
        <f>TEXT(J80,"0")&amp;"."&amp;TEXT(K80,"0")&amp;"."&amp;TEXT(L80,"0")</f>
        <v>3.2.5</v>
      </c>
      <c r="N80" s="16" t="s">
        <v>144</v>
      </c>
    </row>
    <row r="81" spans="2:15" ht="45.6" thickBot="1" x14ac:dyDescent="0.35">
      <c r="B81" s="42"/>
      <c r="C81" s="42"/>
      <c r="D81" s="37"/>
      <c r="E81" s="30"/>
      <c r="F81" s="11" t="s">
        <v>152</v>
      </c>
      <c r="G81" s="22">
        <v>3.18</v>
      </c>
      <c r="H81" s="1">
        <v>8.1999999999999993</v>
      </c>
      <c r="I81" s="6">
        <v>1</v>
      </c>
      <c r="J81" s="13">
        <v>3</v>
      </c>
      <c r="K81" s="13">
        <v>2</v>
      </c>
      <c r="L81" s="13">
        <v>5</v>
      </c>
      <c r="M81" s="13" t="str">
        <f>TEXT(J81,"0")&amp;"."&amp;TEXT(K81,"0")&amp;"."&amp;TEXT(L81,"0")</f>
        <v>3.2.5</v>
      </c>
      <c r="N81" s="16" t="s">
        <v>100</v>
      </c>
    </row>
    <row r="82" spans="2:15" ht="45.6" customHeight="1" thickBot="1" x14ac:dyDescent="0.35">
      <c r="B82" s="47"/>
      <c r="C82" s="42"/>
      <c r="D82" s="37"/>
      <c r="E82" s="31"/>
      <c r="F82" s="11" t="s">
        <v>153</v>
      </c>
      <c r="G82" s="22">
        <v>3.18</v>
      </c>
      <c r="H82" s="1">
        <v>8.1999999999999993</v>
      </c>
      <c r="I82" s="6">
        <v>1</v>
      </c>
      <c r="J82" s="13">
        <v>3</v>
      </c>
      <c r="K82" s="13">
        <v>2</v>
      </c>
      <c r="L82" s="13">
        <v>5</v>
      </c>
      <c r="M82" s="13" t="str">
        <f t="shared" si="0"/>
        <v>3.2.5</v>
      </c>
      <c r="N82" s="16" t="s">
        <v>100</v>
      </c>
    </row>
    <row r="83" spans="2:15" ht="29.4" thickBot="1" x14ac:dyDescent="0.35">
      <c r="B83" s="41" t="s">
        <v>154</v>
      </c>
      <c r="C83" s="45" t="s">
        <v>155</v>
      </c>
      <c r="D83" s="37" t="s">
        <v>156</v>
      </c>
      <c r="E83" s="29" t="str">
        <f>TEXT(J83,"0")&amp;"."&amp;TEXT(K83,"0")&amp;"."&amp;TEXT(L83,"0")</f>
        <v>4.1.1</v>
      </c>
      <c r="F83" s="11" t="s">
        <v>157</v>
      </c>
      <c r="G83" s="22" t="s">
        <v>242</v>
      </c>
      <c r="H83" s="1" t="s">
        <v>226</v>
      </c>
      <c r="I83" s="6">
        <v>1</v>
      </c>
      <c r="J83" s="13">
        <v>4</v>
      </c>
      <c r="K83" s="13">
        <v>1</v>
      </c>
      <c r="L83" s="13">
        <v>1</v>
      </c>
      <c r="M83" s="13" t="str">
        <f t="shared" si="0"/>
        <v>4.1.1</v>
      </c>
      <c r="N83" s="15" t="s">
        <v>158</v>
      </c>
    </row>
    <row r="84" spans="2:15" ht="29.4" thickBot="1" x14ac:dyDescent="0.35">
      <c r="B84" s="42"/>
      <c r="C84" s="46"/>
      <c r="D84" s="37"/>
      <c r="E84" s="30"/>
      <c r="F84" s="11" t="s">
        <v>159</v>
      </c>
      <c r="G84" s="22" t="s">
        <v>242</v>
      </c>
      <c r="H84" s="1" t="s">
        <v>226</v>
      </c>
      <c r="I84" s="6">
        <v>1</v>
      </c>
      <c r="J84" s="13">
        <v>4</v>
      </c>
      <c r="K84" s="13">
        <v>1</v>
      </c>
      <c r="L84" s="13">
        <v>1</v>
      </c>
      <c r="M84" s="13" t="str">
        <f t="shared" si="0"/>
        <v>4.1.1</v>
      </c>
      <c r="N84" s="15" t="s">
        <v>160</v>
      </c>
    </row>
    <row r="85" spans="2:15" ht="16.2" thickBot="1" x14ac:dyDescent="0.35">
      <c r="B85" s="42"/>
      <c r="C85" s="46"/>
      <c r="D85" s="37"/>
      <c r="E85" s="30"/>
      <c r="F85" s="11" t="s">
        <v>161</v>
      </c>
      <c r="G85" s="22" t="s">
        <v>242</v>
      </c>
      <c r="H85" s="1">
        <v>9.1</v>
      </c>
      <c r="I85" s="6">
        <v>1</v>
      </c>
      <c r="J85" s="13">
        <v>4</v>
      </c>
      <c r="K85" s="13">
        <v>1</v>
      </c>
      <c r="L85" s="13">
        <v>1</v>
      </c>
      <c r="M85" s="13" t="str">
        <f t="shared" si="0"/>
        <v>4.1.1</v>
      </c>
      <c r="N85" s="15" t="s">
        <v>162</v>
      </c>
    </row>
    <row r="86" spans="2:15" ht="16.2" thickBot="1" x14ac:dyDescent="0.35">
      <c r="B86" s="42"/>
      <c r="C86" s="46"/>
      <c r="D86" s="37"/>
      <c r="E86" s="30"/>
      <c r="F86" s="11" t="s">
        <v>163</v>
      </c>
      <c r="G86" s="22">
        <v>4.01</v>
      </c>
      <c r="H86" s="1">
        <v>9.1</v>
      </c>
      <c r="I86" s="6">
        <v>1</v>
      </c>
      <c r="J86" s="13">
        <v>4</v>
      </c>
      <c r="K86" s="13">
        <v>1</v>
      </c>
      <c r="L86" s="13">
        <v>1</v>
      </c>
      <c r="M86" s="13" t="str">
        <f t="shared" ref="M86:M93" si="1">TEXT(J86,"0")&amp;"."&amp;TEXT(K86,"0")&amp;"."&amp;TEXT(L86,"0")</f>
        <v>4.1.1</v>
      </c>
      <c r="N86" s="15" t="s">
        <v>164</v>
      </c>
    </row>
    <row r="87" spans="2:15" ht="16.2" thickBot="1" x14ac:dyDescent="0.35">
      <c r="B87" s="42"/>
      <c r="C87" s="46"/>
      <c r="D87" s="37"/>
      <c r="E87" s="30"/>
      <c r="F87" s="11" t="s">
        <v>165</v>
      </c>
      <c r="G87" s="22">
        <v>4.01</v>
      </c>
      <c r="H87" s="1">
        <v>9.3000000000000007</v>
      </c>
      <c r="I87" s="6">
        <v>1</v>
      </c>
      <c r="J87" s="13">
        <v>4</v>
      </c>
      <c r="K87" s="13">
        <v>1</v>
      </c>
      <c r="L87" s="13">
        <v>1</v>
      </c>
      <c r="M87" s="13" t="str">
        <f t="shared" si="1"/>
        <v>4.1.1</v>
      </c>
      <c r="N87" s="15" t="s">
        <v>160</v>
      </c>
    </row>
    <row r="88" spans="2:15" ht="130.19999999999999" thickBot="1" x14ac:dyDescent="0.35">
      <c r="B88" s="42"/>
      <c r="C88" s="46"/>
      <c r="D88" s="37"/>
      <c r="E88" s="30"/>
      <c r="F88" s="11" t="s">
        <v>166</v>
      </c>
      <c r="G88" s="22" t="s">
        <v>242</v>
      </c>
      <c r="H88" s="1" t="s">
        <v>230</v>
      </c>
      <c r="I88" s="6">
        <v>1</v>
      </c>
      <c r="J88" s="13">
        <v>4</v>
      </c>
      <c r="K88" s="13">
        <v>1</v>
      </c>
      <c r="L88" s="13">
        <v>1</v>
      </c>
      <c r="M88" s="13" t="str">
        <f t="shared" si="1"/>
        <v>4.1.1</v>
      </c>
      <c r="N88" s="16" t="s">
        <v>167</v>
      </c>
    </row>
    <row r="89" spans="2:15" ht="115.8" thickBot="1" x14ac:dyDescent="0.35">
      <c r="B89" s="42"/>
      <c r="C89" s="46"/>
      <c r="D89" s="37"/>
      <c r="E89" s="30"/>
      <c r="F89" s="11" t="s">
        <v>168</v>
      </c>
      <c r="G89" s="22" t="s">
        <v>242</v>
      </c>
      <c r="H89" s="1" t="s">
        <v>226</v>
      </c>
      <c r="I89" s="6">
        <v>1</v>
      </c>
      <c r="J89" s="13">
        <v>4</v>
      </c>
      <c r="K89" s="13">
        <v>1</v>
      </c>
      <c r="L89" s="13">
        <v>1</v>
      </c>
      <c r="M89" s="13" t="str">
        <f t="shared" si="1"/>
        <v>4.1.1</v>
      </c>
      <c r="N89" s="15" t="s">
        <v>169</v>
      </c>
      <c r="O89" s="21"/>
    </row>
    <row r="90" spans="2:15" ht="31.2" customHeight="1" thickBot="1" x14ac:dyDescent="0.35">
      <c r="B90" s="42"/>
      <c r="C90" s="46"/>
      <c r="D90" s="37"/>
      <c r="E90" s="30"/>
      <c r="F90" s="11" t="s">
        <v>170</v>
      </c>
      <c r="G90" s="22">
        <v>4.03</v>
      </c>
      <c r="H90" s="1">
        <v>9.4</v>
      </c>
      <c r="I90" s="6">
        <v>1</v>
      </c>
      <c r="J90" s="13">
        <v>4</v>
      </c>
      <c r="K90" s="13">
        <v>1</v>
      </c>
      <c r="L90" s="13">
        <v>1</v>
      </c>
      <c r="M90" s="13" t="str">
        <f t="shared" si="1"/>
        <v>4.1.1</v>
      </c>
      <c r="N90" s="15" t="s">
        <v>171</v>
      </c>
    </row>
    <row r="91" spans="2:15" ht="30.6" thickBot="1" x14ac:dyDescent="0.4">
      <c r="B91" s="42"/>
      <c r="C91" s="46"/>
      <c r="D91" s="37"/>
      <c r="E91" s="30"/>
      <c r="F91" s="11" t="s">
        <v>172</v>
      </c>
      <c r="G91" s="22">
        <v>4.03</v>
      </c>
      <c r="H91" s="1">
        <v>9.4</v>
      </c>
      <c r="I91" s="6">
        <v>1</v>
      </c>
      <c r="J91" s="13">
        <v>4</v>
      </c>
      <c r="K91" s="13">
        <v>1</v>
      </c>
      <c r="L91" s="13">
        <v>1</v>
      </c>
      <c r="M91" s="13" t="str">
        <f t="shared" si="1"/>
        <v>4.1.1</v>
      </c>
      <c r="N91" s="15" t="s">
        <v>173</v>
      </c>
    </row>
    <row r="92" spans="2:15" ht="45" thickBot="1" x14ac:dyDescent="0.35">
      <c r="B92" s="42"/>
      <c r="C92" s="46"/>
      <c r="D92" s="37"/>
      <c r="E92" s="30"/>
      <c r="F92" s="11" t="s">
        <v>174</v>
      </c>
      <c r="G92" s="22">
        <v>4.03</v>
      </c>
      <c r="H92" s="1">
        <v>9.4</v>
      </c>
      <c r="I92" s="6">
        <v>1</v>
      </c>
      <c r="J92" s="13">
        <v>4</v>
      </c>
      <c r="K92" s="13">
        <v>1</v>
      </c>
      <c r="L92" s="13">
        <v>1</v>
      </c>
      <c r="M92" s="13" t="str">
        <f t="shared" si="1"/>
        <v>4.1.1</v>
      </c>
      <c r="N92" s="15" t="s">
        <v>169</v>
      </c>
    </row>
    <row r="93" spans="2:15" ht="16.2" thickBot="1" x14ac:dyDescent="0.35">
      <c r="B93" s="42"/>
      <c r="C93" s="46"/>
      <c r="D93" s="37"/>
      <c r="E93" s="30"/>
      <c r="F93" s="11" t="s">
        <v>175</v>
      </c>
      <c r="G93" s="22">
        <v>4.03</v>
      </c>
      <c r="H93" s="1">
        <v>9.4</v>
      </c>
      <c r="I93" s="6">
        <v>1</v>
      </c>
      <c r="J93" s="13">
        <v>4</v>
      </c>
      <c r="K93" s="13">
        <v>1</v>
      </c>
      <c r="L93" s="13">
        <v>1</v>
      </c>
      <c r="M93" s="13" t="str">
        <f t="shared" si="1"/>
        <v>4.1.1</v>
      </c>
      <c r="N93" s="15" t="s">
        <v>160</v>
      </c>
    </row>
    <row r="94" spans="2:15" ht="16.2" thickBot="1" x14ac:dyDescent="0.35">
      <c r="B94" s="42"/>
      <c r="C94" s="46"/>
      <c r="D94" s="37"/>
      <c r="E94" s="30"/>
      <c r="F94" s="11" t="s">
        <v>176</v>
      </c>
      <c r="G94" s="22">
        <v>4.03</v>
      </c>
      <c r="H94" s="1">
        <v>9.4</v>
      </c>
      <c r="I94" s="6">
        <v>1</v>
      </c>
      <c r="J94" s="13">
        <v>4</v>
      </c>
      <c r="K94" s="13">
        <v>1</v>
      </c>
      <c r="L94" s="13">
        <v>1</v>
      </c>
      <c r="M94" s="13" t="str">
        <f t="shared" ref="M94" si="2">TEXT(J94,"0")&amp;"."&amp;TEXT(K94,"0")&amp;"."&amp;TEXT(L94,"0")</f>
        <v>4.1.1</v>
      </c>
      <c r="N94" s="15" t="s">
        <v>160</v>
      </c>
    </row>
    <row r="95" spans="2:15" ht="31.8" thickBot="1" x14ac:dyDescent="0.35">
      <c r="B95" s="42"/>
      <c r="C95" s="46"/>
      <c r="D95" s="37"/>
      <c r="E95" s="31"/>
      <c r="F95" s="11" t="s">
        <v>177</v>
      </c>
      <c r="G95" s="22"/>
      <c r="H95" s="1">
        <v>9.5</v>
      </c>
      <c r="I95" s="6">
        <v>1</v>
      </c>
      <c r="J95" s="13">
        <v>4</v>
      </c>
      <c r="K95" s="13">
        <v>1</v>
      </c>
      <c r="L95" s="13">
        <v>1</v>
      </c>
      <c r="M95" s="13" t="str">
        <f t="shared" si="0"/>
        <v>4.1.1</v>
      </c>
      <c r="N95" s="16" t="s">
        <v>178</v>
      </c>
    </row>
    <row r="96" spans="2:15" ht="67.2" customHeight="1" thickBot="1" x14ac:dyDescent="0.35">
      <c r="B96" s="42"/>
      <c r="C96" s="46"/>
      <c r="D96" s="37" t="s">
        <v>179</v>
      </c>
      <c r="E96" s="29" t="str">
        <f>TEXT(J96,"0")&amp;"."&amp;TEXT(K96,"0")&amp;"."&amp;TEXT(L96,"0")</f>
        <v>4.1.2</v>
      </c>
      <c r="F96" s="11" t="s">
        <v>180</v>
      </c>
      <c r="G96" s="22">
        <v>4.04</v>
      </c>
      <c r="H96" s="1">
        <v>9.6999999999999993</v>
      </c>
      <c r="I96" s="6">
        <v>1</v>
      </c>
      <c r="J96" s="13">
        <v>4</v>
      </c>
      <c r="K96" s="13">
        <v>1</v>
      </c>
      <c r="L96" s="13">
        <v>2</v>
      </c>
      <c r="M96" s="13" t="str">
        <f t="shared" si="0"/>
        <v>4.1.2</v>
      </c>
      <c r="N96" s="16" t="s">
        <v>181</v>
      </c>
    </row>
    <row r="97" spans="2:14" ht="55.2" customHeight="1" thickBot="1" x14ac:dyDescent="0.35">
      <c r="B97" s="42"/>
      <c r="C97" s="46"/>
      <c r="D97" s="37"/>
      <c r="E97" s="31"/>
      <c r="F97" s="11" t="s">
        <v>182</v>
      </c>
      <c r="G97" s="22">
        <v>4.04</v>
      </c>
      <c r="H97" s="1">
        <v>9.6999999999999993</v>
      </c>
      <c r="I97" s="6">
        <v>1</v>
      </c>
      <c r="J97" s="13">
        <v>4</v>
      </c>
      <c r="K97" s="13">
        <v>1</v>
      </c>
      <c r="L97" s="13">
        <v>2</v>
      </c>
      <c r="M97" s="13" t="str">
        <f t="shared" si="0"/>
        <v>4.1.2</v>
      </c>
      <c r="N97" s="15" t="s">
        <v>160</v>
      </c>
    </row>
    <row r="98" spans="2:14" ht="35.4" customHeight="1" thickBot="1" x14ac:dyDescent="0.35">
      <c r="B98" s="42"/>
      <c r="C98" s="46"/>
      <c r="D98" s="29" t="s">
        <v>183</v>
      </c>
      <c r="E98" s="29" t="str">
        <f>TEXT(J98,"0")&amp;"."&amp;TEXT(K98,"0")&amp;"."&amp;TEXT(L98,"0")</f>
        <v>4.1.3</v>
      </c>
      <c r="F98" s="11" t="s">
        <v>184</v>
      </c>
      <c r="G98" s="22" t="s">
        <v>244</v>
      </c>
      <c r="H98" s="1">
        <v>10.1</v>
      </c>
      <c r="I98" s="6">
        <v>1</v>
      </c>
      <c r="J98" s="13">
        <v>4</v>
      </c>
      <c r="K98" s="13">
        <v>1</v>
      </c>
      <c r="L98" s="13">
        <v>3</v>
      </c>
      <c r="M98" s="13" t="str">
        <f t="shared" si="0"/>
        <v>4.1.3</v>
      </c>
      <c r="N98" s="16" t="s">
        <v>185</v>
      </c>
    </row>
    <row r="99" spans="2:14" ht="90.6" thickBot="1" x14ac:dyDescent="0.35">
      <c r="B99" s="42"/>
      <c r="C99" s="46"/>
      <c r="D99" s="30"/>
      <c r="E99" s="30"/>
      <c r="F99" s="11" t="s">
        <v>186</v>
      </c>
      <c r="G99" s="22" t="s">
        <v>245</v>
      </c>
      <c r="H99" s="1" t="s">
        <v>232</v>
      </c>
      <c r="I99" s="6">
        <v>1</v>
      </c>
      <c r="J99" s="13">
        <v>4</v>
      </c>
      <c r="K99" s="13">
        <v>1</v>
      </c>
      <c r="L99" s="13">
        <v>3</v>
      </c>
      <c r="M99" s="13" t="str">
        <f t="shared" si="0"/>
        <v>4.1.3</v>
      </c>
      <c r="N99" s="15" t="s">
        <v>187</v>
      </c>
    </row>
    <row r="100" spans="2:14" ht="87" thickBot="1" x14ac:dyDescent="0.35">
      <c r="B100" s="42"/>
      <c r="C100" s="46"/>
      <c r="D100" s="30"/>
      <c r="E100" s="30"/>
      <c r="F100" s="11" t="s">
        <v>188</v>
      </c>
      <c r="G100" s="22" t="s">
        <v>246</v>
      </c>
      <c r="H100" s="1" t="s">
        <v>231</v>
      </c>
      <c r="I100" s="6">
        <v>1</v>
      </c>
      <c r="J100" s="13">
        <v>4</v>
      </c>
      <c r="K100" s="13">
        <v>1</v>
      </c>
      <c r="L100" s="13">
        <v>3</v>
      </c>
      <c r="M100" s="13" t="str">
        <f t="shared" si="0"/>
        <v>4.1.3</v>
      </c>
      <c r="N100" s="15" t="s">
        <v>187</v>
      </c>
    </row>
    <row r="101" spans="2:14" ht="29.4" thickBot="1" x14ac:dyDescent="0.35">
      <c r="B101" s="42"/>
      <c r="C101" s="46"/>
      <c r="D101" s="30"/>
      <c r="E101" s="30"/>
      <c r="F101" s="11" t="s">
        <v>189</v>
      </c>
      <c r="G101" s="22" t="s">
        <v>244</v>
      </c>
      <c r="H101" s="1" t="s">
        <v>231</v>
      </c>
      <c r="I101" s="6">
        <v>1</v>
      </c>
      <c r="J101" s="13">
        <v>4</v>
      </c>
      <c r="K101" s="13">
        <v>1</v>
      </c>
      <c r="L101" s="13">
        <v>3</v>
      </c>
      <c r="M101" s="13" t="str">
        <f t="shared" si="0"/>
        <v>4.1.3</v>
      </c>
      <c r="N101" s="15" t="s">
        <v>160</v>
      </c>
    </row>
    <row r="102" spans="2:14" ht="16.2" thickBot="1" x14ac:dyDescent="0.35">
      <c r="B102" s="42"/>
      <c r="C102" s="46"/>
      <c r="D102" s="30"/>
      <c r="E102" s="30"/>
      <c r="F102" s="11" t="s">
        <v>190</v>
      </c>
      <c r="G102" s="22" t="s">
        <v>242</v>
      </c>
      <c r="H102" s="1">
        <v>10.3</v>
      </c>
      <c r="I102" s="6">
        <v>1</v>
      </c>
      <c r="J102" s="13">
        <v>4</v>
      </c>
      <c r="K102" s="13">
        <v>1</v>
      </c>
      <c r="L102" s="13">
        <v>3</v>
      </c>
      <c r="M102" s="13" t="str">
        <f t="shared" si="0"/>
        <v>4.1.3</v>
      </c>
      <c r="N102" s="15" t="s">
        <v>191</v>
      </c>
    </row>
    <row r="103" spans="2:14" ht="31.8" thickBot="1" x14ac:dyDescent="0.35">
      <c r="B103" s="42"/>
      <c r="C103" s="46"/>
      <c r="D103" s="30"/>
      <c r="E103" s="30"/>
      <c r="F103" s="11" t="s">
        <v>192</v>
      </c>
      <c r="G103" s="22">
        <v>4.1100000000000003</v>
      </c>
      <c r="H103" s="1">
        <v>10.5</v>
      </c>
      <c r="I103" s="6">
        <v>1</v>
      </c>
      <c r="J103" s="13">
        <v>4</v>
      </c>
      <c r="K103" s="13">
        <v>1</v>
      </c>
      <c r="L103" s="13">
        <v>3</v>
      </c>
      <c r="M103" s="13" t="str">
        <f t="shared" si="0"/>
        <v>4.1.3</v>
      </c>
      <c r="N103" s="16" t="s">
        <v>193</v>
      </c>
    </row>
    <row r="104" spans="2:14" ht="16.2" thickBot="1" x14ac:dyDescent="0.35">
      <c r="B104" s="42"/>
      <c r="C104" s="46"/>
      <c r="D104" s="30"/>
      <c r="E104" s="30"/>
      <c r="F104" s="11" t="s">
        <v>194</v>
      </c>
      <c r="G104" s="22">
        <v>4.1100000000000003</v>
      </c>
      <c r="H104" s="1">
        <v>10.5</v>
      </c>
      <c r="I104" s="6">
        <v>1</v>
      </c>
      <c r="J104" s="13">
        <v>4</v>
      </c>
      <c r="K104" s="13">
        <v>1</v>
      </c>
      <c r="L104" s="13">
        <v>3</v>
      </c>
      <c r="M104" s="13" t="str">
        <f t="shared" si="0"/>
        <v>4.1.3</v>
      </c>
      <c r="N104" s="15" t="s">
        <v>195</v>
      </c>
    </row>
    <row r="105" spans="2:14" ht="58.2" thickBot="1" x14ac:dyDescent="0.35">
      <c r="B105" s="42"/>
      <c r="C105" s="46"/>
      <c r="D105" s="30"/>
      <c r="E105" s="30"/>
      <c r="F105" s="11" t="s">
        <v>196</v>
      </c>
      <c r="G105" s="22" t="s">
        <v>246</v>
      </c>
      <c r="H105" s="1">
        <v>10.1</v>
      </c>
      <c r="I105" s="6">
        <v>1</v>
      </c>
      <c r="J105" s="13">
        <v>4</v>
      </c>
      <c r="K105" s="13">
        <v>1</v>
      </c>
      <c r="L105" s="13">
        <v>3</v>
      </c>
      <c r="M105" s="13" t="str">
        <f t="shared" ref="M105:M123" si="3">TEXT(J105,"0")&amp;"."&amp;TEXT(K105,"0")&amp;"."&amp;TEXT(L105,"0")</f>
        <v>4.1.3</v>
      </c>
      <c r="N105" s="15" t="s">
        <v>197</v>
      </c>
    </row>
    <row r="106" spans="2:14" ht="29.4" thickBot="1" x14ac:dyDescent="0.35">
      <c r="B106" s="42"/>
      <c r="C106" s="46"/>
      <c r="D106" s="30"/>
      <c r="E106" s="30"/>
      <c r="F106" s="11" t="s">
        <v>198</v>
      </c>
      <c r="G106" s="22">
        <v>4.09</v>
      </c>
      <c r="H106" s="1">
        <v>10.1</v>
      </c>
      <c r="I106" s="6">
        <v>1</v>
      </c>
      <c r="J106" s="13">
        <v>4</v>
      </c>
      <c r="K106" s="13">
        <v>1</v>
      </c>
      <c r="L106" s="13">
        <v>3</v>
      </c>
      <c r="M106" s="13" t="str">
        <f t="shared" si="3"/>
        <v>4.1.3</v>
      </c>
      <c r="N106" s="15" t="s">
        <v>160</v>
      </c>
    </row>
    <row r="107" spans="2:14" ht="43.8" thickBot="1" x14ac:dyDescent="0.35">
      <c r="B107" s="42"/>
      <c r="C107" s="46"/>
      <c r="D107" s="30"/>
      <c r="E107" s="30"/>
      <c r="F107" s="11" t="s">
        <v>199</v>
      </c>
      <c r="G107" s="22" t="s">
        <v>244</v>
      </c>
      <c r="H107" s="1" t="s">
        <v>232</v>
      </c>
      <c r="I107" s="6">
        <v>1</v>
      </c>
      <c r="J107" s="13">
        <v>4</v>
      </c>
      <c r="K107" s="13">
        <v>1</v>
      </c>
      <c r="L107" s="13">
        <v>3</v>
      </c>
      <c r="M107" s="13" t="str">
        <f t="shared" si="3"/>
        <v>4.1.3</v>
      </c>
      <c r="N107" s="16" t="s">
        <v>200</v>
      </c>
    </row>
    <row r="108" spans="2:14" ht="29.4" thickBot="1" x14ac:dyDescent="0.35">
      <c r="B108" s="42"/>
      <c r="C108" s="46"/>
      <c r="D108" s="31"/>
      <c r="E108" s="31"/>
      <c r="F108" s="11" t="s">
        <v>201</v>
      </c>
      <c r="G108" s="22" t="s">
        <v>246</v>
      </c>
      <c r="H108" s="1" t="s">
        <v>233</v>
      </c>
      <c r="I108" s="6">
        <v>1</v>
      </c>
      <c r="J108" s="13">
        <v>4</v>
      </c>
      <c r="K108" s="13">
        <v>1</v>
      </c>
      <c r="L108" s="13">
        <v>3</v>
      </c>
      <c r="M108" s="13" t="str">
        <f t="shared" si="3"/>
        <v>4.1.3</v>
      </c>
      <c r="N108" s="15" t="s">
        <v>197</v>
      </c>
    </row>
    <row r="109" spans="2:14" ht="72.599999999999994" thickBot="1" x14ac:dyDescent="0.35">
      <c r="B109" s="42"/>
      <c r="C109" s="46"/>
      <c r="D109" s="29" t="s">
        <v>202</v>
      </c>
      <c r="E109" s="29" t="str">
        <f>TEXT(J109,"0")&amp;"."&amp;TEXT(K109,"0")&amp;"."&amp;TEXT(L109,"0")</f>
        <v>4.1.4</v>
      </c>
      <c r="F109" s="11" t="s">
        <v>203</v>
      </c>
      <c r="G109" s="22">
        <v>4.0599999999999996</v>
      </c>
      <c r="H109" s="1" t="s">
        <v>234</v>
      </c>
      <c r="I109" s="6">
        <v>1</v>
      </c>
      <c r="J109" s="13">
        <v>4</v>
      </c>
      <c r="K109" s="13">
        <v>1</v>
      </c>
      <c r="L109" s="13">
        <v>4</v>
      </c>
      <c r="M109" s="13" t="str">
        <f t="shared" si="3"/>
        <v>4.1.4</v>
      </c>
      <c r="N109" s="16" t="s">
        <v>204</v>
      </c>
    </row>
    <row r="110" spans="2:14" ht="29.4" thickBot="1" x14ac:dyDescent="0.35">
      <c r="B110" s="42"/>
      <c r="C110" s="46"/>
      <c r="D110" s="30"/>
      <c r="E110" s="30"/>
      <c r="F110" s="11" t="s">
        <v>205</v>
      </c>
      <c r="G110" s="22" t="s">
        <v>243</v>
      </c>
      <c r="H110" s="1">
        <v>11.4</v>
      </c>
      <c r="I110" s="6">
        <v>1</v>
      </c>
      <c r="J110" s="13">
        <v>4</v>
      </c>
      <c r="K110" s="13">
        <v>1</v>
      </c>
      <c r="L110" s="13">
        <v>4</v>
      </c>
      <c r="M110" s="13" t="str">
        <f t="shared" si="3"/>
        <v>4.1.4</v>
      </c>
      <c r="N110" s="15"/>
    </row>
    <row r="111" spans="2:14" ht="16.2" thickBot="1" x14ac:dyDescent="0.35">
      <c r="B111" s="42"/>
      <c r="C111" s="46"/>
      <c r="D111" s="30"/>
      <c r="E111" s="31"/>
      <c r="F111" s="11" t="s">
        <v>206</v>
      </c>
      <c r="G111" s="22">
        <v>4.1399999999999997</v>
      </c>
      <c r="H111" s="1">
        <v>11.2</v>
      </c>
      <c r="I111" s="6">
        <v>1</v>
      </c>
      <c r="J111" s="13">
        <v>4</v>
      </c>
      <c r="K111" s="13">
        <v>1</v>
      </c>
      <c r="L111" s="13">
        <v>4</v>
      </c>
      <c r="M111" s="13" t="str">
        <f t="shared" si="3"/>
        <v>4.1.4</v>
      </c>
      <c r="N111" s="15"/>
    </row>
    <row r="112" spans="2:14" ht="29.4" thickBot="1" x14ac:dyDescent="0.35">
      <c r="B112" s="42"/>
      <c r="C112" s="46"/>
      <c r="D112" s="29" t="s">
        <v>5</v>
      </c>
      <c r="E112" s="29" t="str">
        <f>TEXT(J112,"0")&amp;"."&amp;TEXT(K112,"0")&amp;"."&amp;TEXT(L112,"0")</f>
        <v>4.1.5</v>
      </c>
      <c r="F112" s="11" t="s">
        <v>207</v>
      </c>
      <c r="G112" s="22">
        <v>4.1399999999999997</v>
      </c>
      <c r="H112" s="1">
        <v>12.1</v>
      </c>
      <c r="I112" s="6">
        <v>1</v>
      </c>
      <c r="J112" s="13">
        <v>4</v>
      </c>
      <c r="K112" s="13">
        <v>1</v>
      </c>
      <c r="L112" s="13">
        <v>5</v>
      </c>
      <c r="M112" s="13" t="str">
        <f t="shared" si="3"/>
        <v>4.1.5</v>
      </c>
      <c r="N112" s="15" t="s">
        <v>100</v>
      </c>
    </row>
    <row r="113" spans="2:14" ht="29.4" thickBot="1" x14ac:dyDescent="0.35">
      <c r="B113" s="42"/>
      <c r="C113" s="46"/>
      <c r="D113" s="30"/>
      <c r="E113" s="30"/>
      <c r="F113" s="11" t="s">
        <v>208</v>
      </c>
      <c r="G113" s="22">
        <v>4.1399999999999997</v>
      </c>
      <c r="H113" s="1" t="s">
        <v>235</v>
      </c>
      <c r="I113" s="6">
        <v>1</v>
      </c>
      <c r="J113" s="13">
        <v>4</v>
      </c>
      <c r="K113" s="13">
        <v>1</v>
      </c>
      <c r="L113" s="13">
        <v>5</v>
      </c>
      <c r="M113" s="13" t="str">
        <f>TEXT(J113,"0")&amp;"."&amp;TEXT(K113,"0")&amp;"."&amp;TEXT(L113,"0")</f>
        <v>4.1.5</v>
      </c>
      <c r="N113" s="15" t="s">
        <v>160</v>
      </c>
    </row>
    <row r="114" spans="2:14" ht="45" thickBot="1" x14ac:dyDescent="0.35">
      <c r="B114" s="42"/>
      <c r="C114" s="46"/>
      <c r="D114" s="30"/>
      <c r="E114" s="30"/>
      <c r="F114" s="11" t="s">
        <v>209</v>
      </c>
      <c r="G114" s="22">
        <v>4.1399999999999997</v>
      </c>
      <c r="H114" s="1" t="s">
        <v>235</v>
      </c>
      <c r="I114" s="6">
        <v>1</v>
      </c>
      <c r="J114" s="13">
        <v>4</v>
      </c>
      <c r="K114" s="13">
        <v>1</v>
      </c>
      <c r="L114" s="13">
        <v>5</v>
      </c>
      <c r="M114" s="13" t="str">
        <f t="shared" si="3"/>
        <v>4.1.5</v>
      </c>
      <c r="N114" s="15" t="s">
        <v>160</v>
      </c>
    </row>
    <row r="115" spans="2:14" ht="29.4" thickBot="1" x14ac:dyDescent="0.35">
      <c r="B115" s="42"/>
      <c r="C115" s="46"/>
      <c r="D115" s="30"/>
      <c r="E115" s="31"/>
      <c r="F115" s="11" t="s">
        <v>210</v>
      </c>
      <c r="G115" s="22">
        <v>4.1500000000000004</v>
      </c>
      <c r="H115" s="1">
        <v>12.5</v>
      </c>
      <c r="I115" s="6">
        <v>1</v>
      </c>
      <c r="J115" s="13">
        <v>4</v>
      </c>
      <c r="K115" s="13">
        <v>1</v>
      </c>
      <c r="L115" s="13">
        <v>5</v>
      </c>
      <c r="M115" s="13" t="str">
        <f t="shared" si="3"/>
        <v>4.1.5</v>
      </c>
      <c r="N115" s="15" t="s">
        <v>211</v>
      </c>
    </row>
    <row r="116" spans="2:14" ht="43.8" thickBot="1" x14ac:dyDescent="0.35">
      <c r="B116" s="43"/>
      <c r="C116" s="41" t="s">
        <v>212</v>
      </c>
      <c r="D116" s="32" t="s">
        <v>213</v>
      </c>
      <c r="E116" s="29" t="str">
        <f>TEXT(J116,"0")&amp;"."&amp;TEXT(K116,"0")&amp;"."&amp;TEXT(L116,"0")</f>
        <v>4.2.1</v>
      </c>
      <c r="F116" s="11" t="s">
        <v>214</v>
      </c>
      <c r="G116" s="23">
        <v>4.08</v>
      </c>
      <c r="H116" s="6">
        <v>13.1</v>
      </c>
      <c r="I116" s="6">
        <v>1</v>
      </c>
      <c r="J116" s="13">
        <v>4</v>
      </c>
      <c r="K116" s="13">
        <v>2</v>
      </c>
      <c r="L116" s="13">
        <v>1</v>
      </c>
      <c r="M116" s="13" t="str">
        <f t="shared" si="3"/>
        <v>4.2.1</v>
      </c>
      <c r="N116" s="18" t="s">
        <v>215</v>
      </c>
    </row>
    <row r="117" spans="2:14" ht="72.599999999999994" thickBot="1" x14ac:dyDescent="0.35">
      <c r="B117" s="43"/>
      <c r="C117" s="42"/>
      <c r="D117" s="33"/>
      <c r="E117" s="30"/>
      <c r="F117" s="11" t="s">
        <v>216</v>
      </c>
      <c r="G117" s="23" t="s">
        <v>247</v>
      </c>
      <c r="H117" s="6" t="s">
        <v>236</v>
      </c>
      <c r="I117" s="6">
        <v>1</v>
      </c>
      <c r="J117" s="13">
        <v>4</v>
      </c>
      <c r="K117" s="13">
        <v>2</v>
      </c>
      <c r="L117" s="13">
        <v>1</v>
      </c>
      <c r="M117" s="13" t="str">
        <f t="shared" si="3"/>
        <v>4.2.1</v>
      </c>
      <c r="N117" s="18" t="s">
        <v>217</v>
      </c>
    </row>
    <row r="118" spans="2:14" ht="29.4" thickBot="1" x14ac:dyDescent="0.35">
      <c r="B118" s="43"/>
      <c r="C118" s="42"/>
      <c r="D118" s="33"/>
      <c r="E118" s="30"/>
      <c r="F118" s="11" t="s">
        <v>218</v>
      </c>
      <c r="G118" s="24">
        <v>4.17</v>
      </c>
      <c r="H118" s="2">
        <v>13.6</v>
      </c>
      <c r="I118" s="6">
        <v>1</v>
      </c>
      <c r="J118" s="13">
        <v>4</v>
      </c>
      <c r="K118" s="13">
        <v>2</v>
      </c>
      <c r="L118" s="13">
        <v>1</v>
      </c>
      <c r="M118" s="13" t="str">
        <f t="shared" si="3"/>
        <v>4.2.1</v>
      </c>
      <c r="N118" s="15" t="s">
        <v>219</v>
      </c>
    </row>
    <row r="119" spans="2:14" ht="29.4" thickBot="1" x14ac:dyDescent="0.35">
      <c r="B119" s="43"/>
      <c r="C119" s="42"/>
      <c r="D119" s="33"/>
      <c r="E119" s="30"/>
      <c r="F119" s="11" t="s">
        <v>220</v>
      </c>
      <c r="G119" s="24">
        <v>4.17</v>
      </c>
      <c r="H119" s="2">
        <v>13.6</v>
      </c>
      <c r="I119" s="6">
        <v>1</v>
      </c>
      <c r="J119" s="13">
        <v>4</v>
      </c>
      <c r="K119" s="13">
        <v>2</v>
      </c>
      <c r="L119" s="13">
        <v>1</v>
      </c>
      <c r="M119" s="13" t="str">
        <f t="shared" si="3"/>
        <v>4.2.1</v>
      </c>
      <c r="N119" s="15" t="s">
        <v>215</v>
      </c>
    </row>
    <row r="120" spans="2:14" ht="72.599999999999994" thickBot="1" x14ac:dyDescent="0.35">
      <c r="B120" s="43"/>
      <c r="C120" s="43"/>
      <c r="D120" s="34" t="s">
        <v>221</v>
      </c>
      <c r="E120" s="29" t="str">
        <f>TEXT(J120,"0")&amp;"."&amp;TEXT(K120,"0")&amp;"."&amp;TEXT(L120,"0")</f>
        <v>4.2.2</v>
      </c>
      <c r="F120" s="19" t="s">
        <v>222</v>
      </c>
      <c r="G120" s="25" t="s">
        <v>243</v>
      </c>
      <c r="H120" s="9" t="s">
        <v>227</v>
      </c>
      <c r="I120" s="6">
        <v>1</v>
      </c>
      <c r="J120" s="13">
        <v>4</v>
      </c>
      <c r="K120" s="13">
        <v>2</v>
      </c>
      <c r="L120" s="13">
        <v>2</v>
      </c>
      <c r="M120" s="13" t="str">
        <f t="shared" si="3"/>
        <v>4.2.2</v>
      </c>
      <c r="N120" s="15"/>
    </row>
    <row r="121" spans="2:14" ht="16.2" thickBot="1" x14ac:dyDescent="0.35">
      <c r="B121" s="43"/>
      <c r="C121" s="43"/>
      <c r="D121" s="35"/>
      <c r="E121" s="30"/>
      <c r="F121" s="19" t="s">
        <v>223</v>
      </c>
      <c r="G121" s="25">
        <v>4.0599999999999996</v>
      </c>
      <c r="H121" s="9">
        <v>14.4</v>
      </c>
      <c r="I121" s="6">
        <v>1</v>
      </c>
      <c r="J121" s="13">
        <v>4</v>
      </c>
      <c r="K121" s="13">
        <v>2</v>
      </c>
      <c r="L121" s="13">
        <v>2</v>
      </c>
      <c r="M121" s="13" t="str">
        <f t="shared" si="3"/>
        <v>4.2.2</v>
      </c>
      <c r="N121" s="16"/>
    </row>
    <row r="122" spans="2:14" ht="46.2" customHeight="1" thickBot="1" x14ac:dyDescent="0.35">
      <c r="B122" s="43"/>
      <c r="C122" s="43"/>
      <c r="D122" s="35"/>
      <c r="E122" s="30"/>
      <c r="F122" s="19" t="s">
        <v>224</v>
      </c>
      <c r="G122" s="25">
        <v>4.0599999999999996</v>
      </c>
      <c r="H122" s="9">
        <v>14.4</v>
      </c>
      <c r="I122" s="6">
        <v>1</v>
      </c>
      <c r="J122" s="13">
        <v>4</v>
      </c>
      <c r="K122" s="13">
        <v>2</v>
      </c>
      <c r="L122" s="13">
        <v>2</v>
      </c>
      <c r="M122" s="13" t="str">
        <f t="shared" si="3"/>
        <v>4.2.2</v>
      </c>
      <c r="N122" s="15"/>
    </row>
    <row r="123" spans="2:14" ht="58.2" customHeight="1" thickBot="1" x14ac:dyDescent="0.35">
      <c r="B123" s="44"/>
      <c r="C123" s="44"/>
      <c r="D123" s="36"/>
      <c r="E123" s="31"/>
      <c r="F123" s="20" t="s">
        <v>225</v>
      </c>
      <c r="G123" s="22">
        <v>4.0599999999999996</v>
      </c>
      <c r="H123" s="6">
        <v>14.5</v>
      </c>
      <c r="I123" s="6">
        <v>1</v>
      </c>
      <c r="J123" s="13">
        <v>4</v>
      </c>
      <c r="K123" s="13">
        <v>2</v>
      </c>
      <c r="L123" s="13">
        <v>2</v>
      </c>
      <c r="M123" s="13" t="str">
        <f t="shared" si="3"/>
        <v>4.2.2</v>
      </c>
      <c r="N123" s="15"/>
    </row>
  </sheetData>
  <mergeCells count="49">
    <mergeCell ref="B2:I2"/>
    <mergeCell ref="D4:D10"/>
    <mergeCell ref="D11:D13"/>
    <mergeCell ref="D14:D22"/>
    <mergeCell ref="B83:B123"/>
    <mergeCell ref="D83:D95"/>
    <mergeCell ref="D96:D97"/>
    <mergeCell ref="D98:D108"/>
    <mergeCell ref="D109:D111"/>
    <mergeCell ref="D112:D115"/>
    <mergeCell ref="C116:C123"/>
    <mergeCell ref="C83:C115"/>
    <mergeCell ref="C54:C82"/>
    <mergeCell ref="B4:B82"/>
    <mergeCell ref="D48:D53"/>
    <mergeCell ref="C4:C53"/>
    <mergeCell ref="D23:D29"/>
    <mergeCell ref="D30:D32"/>
    <mergeCell ref="D33:D38"/>
    <mergeCell ref="D39:D43"/>
    <mergeCell ref="D44:D47"/>
    <mergeCell ref="D116:D119"/>
    <mergeCell ref="D120:D123"/>
    <mergeCell ref="D69:D74"/>
    <mergeCell ref="D75:D82"/>
    <mergeCell ref="D54:D60"/>
    <mergeCell ref="D63:D68"/>
    <mergeCell ref="D61:D62"/>
    <mergeCell ref="E4:E10"/>
    <mergeCell ref="E11:E13"/>
    <mergeCell ref="E14:E22"/>
    <mergeCell ref="E23:E29"/>
    <mergeCell ref="E30:E32"/>
    <mergeCell ref="E33:E38"/>
    <mergeCell ref="E39:E43"/>
    <mergeCell ref="E44:E47"/>
    <mergeCell ref="E48:E53"/>
    <mergeCell ref="E54:E60"/>
    <mergeCell ref="E61:E62"/>
    <mergeCell ref="E120:E123"/>
    <mergeCell ref="E98:E108"/>
    <mergeCell ref="E109:E111"/>
    <mergeCell ref="E112:E115"/>
    <mergeCell ref="E116:E119"/>
    <mergeCell ref="E63:E68"/>
    <mergeCell ref="E69:E74"/>
    <mergeCell ref="E75:E82"/>
    <mergeCell ref="E83:E95"/>
    <mergeCell ref="E96:E97"/>
  </mergeCells>
  <conditionalFormatting sqref="B4:B82">
    <cfRule type="expression" dxfId="83" priority="20">
      <formula>AND(SUM($I$4:$I$82)&gt;=COUNT($I$4:$I$82), SUM($I$4:$I$82)&lt;3*COUNT($I$4:$I$82))</formula>
    </cfRule>
    <cfRule type="expression" dxfId="82" priority="19">
      <formula>SUM($I$4:$I$82)=COUNT($I$4:$I$82)</formula>
    </cfRule>
    <cfRule type="expression" dxfId="81" priority="21">
      <formula>SUM($I$4:$I$82)=3*COUNT($I$4:$I$82)</formula>
    </cfRule>
  </conditionalFormatting>
  <conditionalFormatting sqref="B83:B123">
    <cfRule type="expression" dxfId="80" priority="2963">
      <formula>SUM($I$83:$I$123)=3*COUNT($I$83:$I$123)</formula>
    </cfRule>
    <cfRule type="expression" dxfId="79" priority="2962">
      <formula>AND(SUM($I$83:$I$123)&gt;=COUNT($I$83:$I$123), SUM($I$83:$I$123)&lt;3*COUNT($I$83:$I$123))</formula>
    </cfRule>
    <cfRule type="expression" dxfId="78" priority="2961">
      <formula>SUM($I$83:$I$123)=COUNT($I$83:$I$123)</formula>
    </cfRule>
  </conditionalFormatting>
  <conditionalFormatting sqref="C4:C53">
    <cfRule type="expression" dxfId="77" priority="31">
      <formula>SUM($I$4:$I$53)=COUNT($I$4:$I$53)</formula>
    </cfRule>
    <cfRule type="expression" dxfId="76" priority="32">
      <formula>AND(SUM($I$4:$I$53)&gt;=COUNT($I$4:$I$53), SUM($I$4:$I$53)&lt;3*COUNT($I$4:$I$53))</formula>
    </cfRule>
    <cfRule type="expression" dxfId="75" priority="33">
      <formula>SUM($I$4:$I$53)=3*COUNT($I$4:$I$53)</formula>
    </cfRule>
  </conditionalFormatting>
  <conditionalFormatting sqref="C54:C82">
    <cfRule type="expression" dxfId="74" priority="28">
      <formula>SUM($I$54:$I$82)=COUNT($I$54:$I$82)</formula>
    </cfRule>
    <cfRule type="expression" dxfId="73" priority="29">
      <formula>AND(SUM($I$54:$I$82)&gt;=COUNT($I$54:$I$82), SUM($I$54:$I$82)&lt;3*COUNT($I$54:$I$82))</formula>
    </cfRule>
    <cfRule type="expression" dxfId="72" priority="30">
      <formula>SUM($I$54:$I$82)=3*COUNT($I$54:$I$82)</formula>
    </cfRule>
  </conditionalFormatting>
  <conditionalFormatting sqref="C83:C115">
    <cfRule type="expression" dxfId="71" priority="2906">
      <formula>SUM($I$83:$I$115)=3*COUNT($I$83:$I$115)</formula>
    </cfRule>
    <cfRule type="expression" dxfId="70" priority="2904">
      <formula>SUM($I$83:$I$115)=COUNT($I$83:$I$115)</formula>
    </cfRule>
    <cfRule type="expression" dxfId="69" priority="2905">
      <formula>AND(SUM($I$83:$I$115)&gt;=COUNT($I$83:$I$115), SUM($I$83:$I$115)&lt;3*COUNT($I$83:$I$115))</formula>
    </cfRule>
  </conditionalFormatting>
  <conditionalFormatting sqref="C116:C123">
    <cfRule type="expression" dxfId="68" priority="2957">
      <formula>SUM($I$116:$I$123)=3*COUNT($I$116:$I$123)</formula>
    </cfRule>
    <cfRule type="expression" dxfId="67" priority="2956">
      <formula>AND(SUM($I$116:$I$123)&gt;=COUNT($I$116:$I$123), SUM($I$116:$I$123)&lt;3*COUNT($I$116:$I$123))</formula>
    </cfRule>
    <cfRule type="expression" dxfId="66" priority="2955">
      <formula>SUM($I$116:$I$123)=COUNT($I$116:$I$123)</formula>
    </cfRule>
  </conditionalFormatting>
  <conditionalFormatting sqref="D4:E4 D5:D10">
    <cfRule type="expression" dxfId="65" priority="108">
      <formula>SUM($I$4:$I$10)=3*COUNT($I$4:$I$10)</formula>
    </cfRule>
    <cfRule type="expression" dxfId="64" priority="107">
      <formula>AND(SUM($I$4:$I$10)&gt;=COUNT($I$4:$I$10), SUM($I$4:$I$10)&lt;3*COUNT($I$4:$I$10))</formula>
    </cfRule>
    <cfRule type="expression" dxfId="63" priority="106">
      <formula>SUM($I$4:$I$10)=COUNT($I$4:$I$10)</formula>
    </cfRule>
  </conditionalFormatting>
  <conditionalFormatting sqref="D11:E11 D12:D13">
    <cfRule type="expression" dxfId="62" priority="95">
      <formula>AND(SUM($I$11:$I$13)&gt;=COUNT($I$11:$I$13), SUM($I$11:$I$13)&lt;3*COUNT($I$11:$I$13))</formula>
    </cfRule>
    <cfRule type="expression" dxfId="61" priority="94">
      <formula>SUM($I$11:$I$13)=COUNT($I$11:$I$13)</formula>
    </cfRule>
    <cfRule type="expression" dxfId="60" priority="96">
      <formula>SUM($I$11:$I$13)=3*COUNT($I$11:$I$13)</formula>
    </cfRule>
  </conditionalFormatting>
  <conditionalFormatting sqref="D14:E19">
    <cfRule type="expression" dxfId="59" priority="91">
      <formula>SUM($I$14:$I$22)=COUNT($I$14:$I$22)</formula>
    </cfRule>
    <cfRule type="expression" dxfId="58" priority="93">
      <formula>SUM($I$14:$I$22)=3*COUNT($I$14:$I$22)</formula>
    </cfRule>
    <cfRule type="expression" dxfId="57" priority="92">
      <formula>AND(SUM($I$14:$I$22)&gt;=COUNT($I$14:$I$22), SUM($I$14:$I$22)&lt;3*COUNT($I$14:$I$22))</formula>
    </cfRule>
  </conditionalFormatting>
  <conditionalFormatting sqref="D23:E28 D29">
    <cfRule type="expression" dxfId="56" priority="89">
      <formula>AND(SUM($I$23:$I$29)&gt;=COUNT($I$23:$I$29), SUM($I$23:$I$29)&lt;3*COUNT($I$23:$I$29))</formula>
    </cfRule>
    <cfRule type="expression" dxfId="55" priority="90">
      <formula>SUM($I$23:$I$29)=3*COUNT($I$23:$I$29)</formula>
    </cfRule>
    <cfRule type="expression" dxfId="54" priority="88">
      <formula>SUM($I$23:$I$29)=COUNT($I$23:$I$29)</formula>
    </cfRule>
  </conditionalFormatting>
  <conditionalFormatting sqref="D30:E30 D31:D32">
    <cfRule type="expression" dxfId="53" priority="87">
      <formula>SUM($I$30:$I$32)=3*COUNT($I$30:$I$32)</formula>
    </cfRule>
    <cfRule type="expression" dxfId="52" priority="86">
      <formula>AND(SUM($I$30:$I$32)&gt;=COUNT($I$30:$I$32), SUM($I$30:$I$32)&lt;3*COUNT($I$30:$I$32))</formula>
    </cfRule>
    <cfRule type="expression" dxfId="51" priority="85">
      <formula>SUM($I$30:$I$32)=COUNT($I$30:$I$32)</formula>
    </cfRule>
  </conditionalFormatting>
  <conditionalFormatting sqref="D33:E35 D36:D38">
    <cfRule type="expression" dxfId="50" priority="82">
      <formula>SUM($I$33:$I$38)=COUNT($I$33:$I$38)</formula>
    </cfRule>
    <cfRule type="expression" dxfId="49" priority="84">
      <formula>SUM($I$33:$I$38)=3*COUNT($I$33:$I$38)</formula>
    </cfRule>
    <cfRule type="expression" dxfId="48" priority="83">
      <formula>AND(SUM($I$33:$I$38)&gt;=COUNT($I$33:$I$38), SUM($I$33:$I$38)&lt;3*COUNT($I$33:$I$38))</formula>
    </cfRule>
  </conditionalFormatting>
  <conditionalFormatting sqref="D39:E40 D41:D43">
    <cfRule type="expression" dxfId="47" priority="80">
      <formula>AND(SUM($I$39:$I$43)&gt;=COUNT($I$39:$I$43), SUM($I$39:$I$43)&lt;3*COUNT($I$39:$I$43))</formula>
    </cfRule>
    <cfRule type="expression" dxfId="46" priority="81">
      <formula>SUM($I$39:$I$43)=3*COUNT($I$39:$I$43)</formula>
    </cfRule>
    <cfRule type="expression" dxfId="45" priority="79">
      <formula>SUM($I$39:$I$43)=COUNT($I$39:$I$43)</formula>
    </cfRule>
  </conditionalFormatting>
  <conditionalFormatting sqref="D44:E45 D46:D47">
    <cfRule type="expression" dxfId="44" priority="77">
      <formula>AND(SUM($I$44:$I$47)&gt;=COUNT($I$44:$I$47), SUM($I$44:$I$47)&lt;3*COUNT($I$44:$I$47))</formula>
    </cfRule>
    <cfRule type="expression" dxfId="43" priority="78">
      <formula>SUM($I$44:$I$47)=3*COUNT($I$44:$I$47)</formula>
    </cfRule>
    <cfRule type="expression" dxfId="42" priority="76">
      <formula>SUM($I$44:$I$47)=COUNT($I$44:$I$47)</formula>
    </cfRule>
  </conditionalFormatting>
  <conditionalFormatting sqref="D48:E48 D49:D53">
    <cfRule type="expression" dxfId="41" priority="13">
      <formula>SUM($I$48:$I$53)=COUNT($I$48:$I$53)</formula>
    </cfRule>
    <cfRule type="expression" dxfId="40" priority="15">
      <formula>SUM($I$48:$I$53)=3*COUNT($I$48:$I$53)</formula>
    </cfRule>
    <cfRule type="expression" dxfId="39" priority="14">
      <formula>AND(SUM($I$48:$I$53)&gt;=COUNT($I$48:$I$53), SUM($I$48:$I$53)&lt;3*COUNT($I$48:$I$53))</formula>
    </cfRule>
  </conditionalFormatting>
  <conditionalFormatting sqref="D54:E54 D55:D60">
    <cfRule type="expression" dxfId="38" priority="71">
      <formula>AND(SUM($I$54:$I$60)&gt;=COUNT($I$54:$I$60), SUM($I$54:$I$60)&lt;3*COUNT($I$54:$I$60))</formula>
    </cfRule>
    <cfRule type="expression" dxfId="37" priority="70">
      <formula>SUM($I$54:$I$60)=COUNT($I$54:$I$60)</formula>
    </cfRule>
    <cfRule type="expression" dxfId="36" priority="72">
      <formula>SUM($I$60:$I$60)=3*COUNT($I$60:$I$60)</formula>
    </cfRule>
  </conditionalFormatting>
  <conditionalFormatting sqref="D61:E62">
    <cfRule type="expression" dxfId="35" priority="10">
      <formula>SUM($I$61:$I$62)=COUNT($I$61:$I$62)</formula>
    </cfRule>
    <cfRule type="expression" dxfId="34" priority="11">
      <formula>AND(SUM($I$61:$I$62)&gt;=COUNT($I$61:$I$62), SUM($I$61:$I$62)&lt;3*COUNT($I$61:$I$62))</formula>
    </cfRule>
    <cfRule type="expression" dxfId="33" priority="12">
      <formula>SUM($I$61:$I$62)=COUNT($I$61:$I$62)*3</formula>
    </cfRule>
  </conditionalFormatting>
  <conditionalFormatting sqref="D63:E66 D67:D68">
    <cfRule type="expression" dxfId="32" priority="69">
      <formula>SUM($I$63:$I$68)=3*COUNT($I$63:$I$68)</formula>
    </cfRule>
    <cfRule type="expression" dxfId="31" priority="68">
      <formula>AND(SUM($I$63:$I$68)&gt;=COUNT($I$63:$I$68), SUM($I$63:$I$68)&lt;3*COUNT($I$63:$I$68))</formula>
    </cfRule>
    <cfRule type="expression" dxfId="30" priority="67">
      <formula>SUM($I$63:$I$68)=COUNT($I$63:$I$68)</formula>
    </cfRule>
  </conditionalFormatting>
  <conditionalFormatting sqref="D69:E69 D70:D74">
    <cfRule type="expression" dxfId="29" priority="66">
      <formula>SUM($I$69:$I$74)=3*COUNT($I$69:$I$74)</formula>
    </cfRule>
    <cfRule type="expression" dxfId="28" priority="64">
      <formula>SUM($I$69:$I$74)=COUNT($I$69:$I$74)</formula>
    </cfRule>
    <cfRule type="expression" dxfId="27" priority="65">
      <formula>AND(SUM($I$69:$I$74)&gt;=COUNT($I$69:$I$74), SUM($I$69:$I$74)&lt;3*COUNT($I$69:$I$74))</formula>
    </cfRule>
  </conditionalFormatting>
  <conditionalFormatting sqref="D75:E75 D76:D82">
    <cfRule type="expression" dxfId="26" priority="61">
      <formula>SUM($I$75:$I$82)=COUNT($I$75:$I$82)</formula>
    </cfRule>
    <cfRule type="expression" dxfId="25" priority="63">
      <formula>SUM($I$75:$I$82)=3*COUNT($I$75:$I$82)</formula>
    </cfRule>
    <cfRule type="expression" dxfId="24" priority="62">
      <formula>AND(SUM($I$75:$I$82)&gt;=COUNT($I$75:$I$82), SUM($I$75:$I$82)&lt;3*COUNT($I$75:$I$82))</formula>
    </cfRule>
  </conditionalFormatting>
  <conditionalFormatting sqref="D83:E83 D84:D95">
    <cfRule type="expression" dxfId="23" priority="58">
      <formula>SUM($I$83:$I$95)=COUNT($I$83:$I$95)</formula>
    </cfRule>
    <cfRule type="expression" dxfId="22" priority="60">
      <formula>SUM($I$83:$I$95)=3*COUNT($I$83:$I$95)</formula>
    </cfRule>
    <cfRule type="expression" dxfId="21" priority="59">
      <formula>AND(SUM($I$83:$I$95)&gt;=COUNT($I$83:$I$95), SUM($I$83:$I$95)&lt;3*COUNT($I$83:$I$95))</formula>
    </cfRule>
  </conditionalFormatting>
  <conditionalFormatting sqref="D96:E96 D97">
    <cfRule type="expression" dxfId="20" priority="2855">
      <formula>SUM($I$96:$I$97)=3*COUNT($I$96:$I$97)</formula>
    </cfRule>
    <cfRule type="expression" dxfId="19" priority="2853">
      <formula>SUM($I$96:$I$97)=COUNT($I$96:$I$97)</formula>
    </cfRule>
    <cfRule type="expression" dxfId="18" priority="2854">
      <formula>AND(SUM($I$96:$I$97)&gt;=COUNT($I$96:$I$97), SUM($I$96:$I$97)&lt;3*COUNT($I$96:$I$97))</formula>
    </cfRule>
  </conditionalFormatting>
  <conditionalFormatting sqref="D98:E98 D99:D108">
    <cfRule type="expression" dxfId="17" priority="54">
      <formula>SUM($I$98:$I$108)=3*COUNT($I$98:$I$108)</formula>
    </cfRule>
    <cfRule type="expression" dxfId="16" priority="53">
      <formula>AND(SUM($I$98:$I$108)&gt;=COUNT($I$98:$I$108), SUM($I$98:$I$108)&lt;3*COUNT($I$98:$I$108))</formula>
    </cfRule>
    <cfRule type="expression" dxfId="15" priority="52">
      <formula>SUM($I$98:$I$108)=COUNT($I$98:$I$108)</formula>
    </cfRule>
  </conditionalFormatting>
  <conditionalFormatting sqref="D109:E109 D110:D111">
    <cfRule type="expression" dxfId="14" priority="2883">
      <formula>SUM($I$109:$I$111)=COUNT($I$109:$I$111)</formula>
    </cfRule>
    <cfRule type="expression" dxfId="13" priority="2884">
      <formula>AND(SUM($I$109:$I$111)&gt;=COUNT($I$109:$I$111), SUM($I$109:$I$111)&lt;3*COUNT($I$109:$I$111))</formula>
    </cfRule>
    <cfRule type="expression" dxfId="12" priority="2885">
      <formula>SUM($I$109:$I$111)=3*COUNT($I$109:$I$111)</formula>
    </cfRule>
  </conditionalFormatting>
  <conditionalFormatting sqref="D112:E113 D114:D115">
    <cfRule type="expression" dxfId="11" priority="48">
      <formula>SUM($I$112:$I$115)=3*COUNT($I$112:$I$115)</formula>
    </cfRule>
    <cfRule type="expression" dxfId="10" priority="47">
      <formula>AND(SUM($I$112:$I$115)&gt;=COUNT($I$112:$I$115), SUM($I$112:$I$115)&lt;3*COUNT($I$112:$I$115))</formula>
    </cfRule>
    <cfRule type="expression" dxfId="9" priority="46">
      <formula>SUM($I$112:$I$115)=COUNT($I$112:$I$115)</formula>
    </cfRule>
  </conditionalFormatting>
  <conditionalFormatting sqref="D116:E116 D117:D119">
    <cfRule type="expression" dxfId="8" priority="2913">
      <formula>SUM($I$116:$I$119)=COUNT($I$116:$I$119)</formula>
    </cfRule>
    <cfRule type="expression" dxfId="7" priority="2915">
      <formula>SUM($I$116:$I$119)=3*COUNT($I$116:$I$119)</formula>
    </cfRule>
    <cfRule type="expression" dxfId="6" priority="2914">
      <formula>AND(SUM($I$116:$I$119)&gt;=COUNT($I$116:$I$119), SUM($I$116:$I$119)&lt;3*COUNT($I$116:$I$119))</formula>
    </cfRule>
  </conditionalFormatting>
  <conditionalFormatting sqref="D120:E120 D121:D123">
    <cfRule type="expression" dxfId="5" priority="2940">
      <formula>SUM($I$120:$I$123)=COUNT($I$120:$I$123)</formula>
    </cfRule>
    <cfRule type="expression" dxfId="4" priority="2941">
      <formula>AND(SUM($I$120:$I$123)&gt;=COUNT($I$120:$I$123), SUM($I$120:$I$123)&lt;3*COUNT($I$120:$I$123))</formula>
    </cfRule>
    <cfRule type="expression" dxfId="3" priority="2942">
      <formula>SUM($I$120:$I$123)=3*COUNT($I$120:$I$123)</formula>
    </cfRule>
  </conditionalFormatting>
  <conditionalFormatting sqref="F4:I123">
    <cfRule type="expression" dxfId="2" priority="2">
      <formula>$I4=2</formula>
    </cfRule>
    <cfRule type="expression" dxfId="1" priority="1">
      <formula>$I4=3</formula>
    </cfRule>
    <cfRule type="expression" dxfId="0" priority="3">
      <formula>$I4=1</formula>
    </cfRule>
  </conditionalFormatting>
  <printOptions horizontalCentered="1"/>
  <pageMargins left="3.937007874015748E-2" right="3.937007874015748E-2" top="0.15748031496062992" bottom="0.15748031496062992" header="0.11811023622047245" footer="0.31496062992125984"/>
  <pageSetup paperSize="9" scale="75"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c22bfa3-f592-4320-963d-691eea32903f" xsi:nil="true"/>
    <lcf76f155ced4ddcb4097134ff3c332f xmlns="3827edae-4ae4-44e3-b3a3-1739238377d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B53B9268483DE48B47FFFA0669F659B" ma:contentTypeVersion="14" ma:contentTypeDescription="Create a new document." ma:contentTypeScope="" ma:versionID="929892db32f6f28b20506e705a5286b8">
  <xsd:schema xmlns:xsd="http://www.w3.org/2001/XMLSchema" xmlns:xs="http://www.w3.org/2001/XMLSchema" xmlns:p="http://schemas.microsoft.com/office/2006/metadata/properties" xmlns:ns2="3827edae-4ae4-44e3-b3a3-1739238377d4" xmlns:ns3="6c22bfa3-f592-4320-963d-691eea32903f" targetNamespace="http://schemas.microsoft.com/office/2006/metadata/properties" ma:root="true" ma:fieldsID="22a4af26f1bb3924d6d7c8380cc697ca" ns2:_="" ns3:_="">
    <xsd:import namespace="3827edae-4ae4-44e3-b3a3-1739238377d4"/>
    <xsd:import namespace="6c22bfa3-f592-4320-963d-691eea32903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27edae-4ae4-44e3-b3a3-1739238377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73d397c-480d-4149-95e5-be7ffaca68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22bfa3-f592-4320-963d-691eea32903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7b4ef30-6bd8-4cdc-9af8-e1c81a231e74}" ma:internalName="TaxCatchAll" ma:showField="CatchAllData" ma:web="6c22bfa3-f592-4320-963d-691eea3290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6AF246-D7A8-480B-B2D8-09F7F3168038}">
  <ds:schemaRefs>
    <ds:schemaRef ds:uri="http://schemas.microsoft.com/sharepoint/v3/contenttype/forms"/>
  </ds:schemaRefs>
</ds:datastoreItem>
</file>

<file path=customXml/itemProps2.xml><?xml version="1.0" encoding="utf-8"?>
<ds:datastoreItem xmlns:ds="http://schemas.openxmlformats.org/officeDocument/2006/customXml" ds:itemID="{BA0D6AEA-7B6C-4F39-8516-CA5B5D320E23}">
  <ds:schemaRefs>
    <ds:schemaRef ds:uri="http://schemas.microsoft.com/office/2006/metadata/properties"/>
    <ds:schemaRef ds:uri="http://schemas.microsoft.com/office/infopath/2007/PartnerControls"/>
    <ds:schemaRef ds:uri="38b5da06-e3d2-47c8-9b63-1158e5a47e68"/>
    <ds:schemaRef ds:uri="b30f1271-8309-483b-807f-8367bb854ad9"/>
    <ds:schemaRef ds:uri="6c22bfa3-f592-4320-963d-691eea32903f"/>
    <ds:schemaRef ds:uri="3827edae-4ae4-44e3-b3a3-1739238377d4"/>
  </ds:schemaRefs>
</ds:datastoreItem>
</file>

<file path=customXml/itemProps3.xml><?xml version="1.0" encoding="utf-8"?>
<ds:datastoreItem xmlns:ds="http://schemas.openxmlformats.org/officeDocument/2006/customXml" ds:itemID="{B2E4A963-20FF-425C-A30D-6775E9666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27edae-4ae4-44e3-b3a3-1739238377d4"/>
    <ds:schemaRef ds:uri="6c22bfa3-f592-4320-963d-691eea3290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Unit 3 and 4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KWACZYNSKI, Joel (jkwac1)</dc:creator>
  <cp:keywords/>
  <dc:description/>
  <cp:lastModifiedBy>CORNEY, Malcolm (mxcor2)</cp:lastModifiedBy>
  <cp:revision/>
  <dcterms:created xsi:type="dcterms:W3CDTF">2021-08-11T01:38:51Z</dcterms:created>
  <dcterms:modified xsi:type="dcterms:W3CDTF">2026-08-17T02:29:56Z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0x010100EB53B9268483DE48B47FFFA0669F659B</vt:lpwstr>
  </property>
  <property fmtid="{D5CDD505-2E9C-101B-9397-08002B2CF9AE}" pid="3" name="MediaServiceImageTags">
    <vt:lpwstr/>
  </property>
</Properties>
</file>